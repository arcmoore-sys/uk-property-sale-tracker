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cmo\Documents\Claude\Projects\Plugin Tests\01-plugin-source\uk-property-sale-tracker\uk-property-sale-tracker\assets\"/>
    </mc:Choice>
  </mc:AlternateContent>
  <xr:revisionPtr revIDLastSave="0" documentId="13_ncr:1_{A17B76D3-3FC9-42D6-B66E-81CE35D57C0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ndate Summary" sheetId="1" r:id="rId1"/>
    <sheet name="Task Checklist" sheetId="2" r:id="rId2"/>
    <sheet name="Information &amp; Data Room" sheetId="3" r:id="rId3"/>
    <sheet name="Buyer Pipeline" sheetId="4" r:id="rId4"/>
    <sheet name="Bid Log" sheetId="5" r:id="rId5"/>
    <sheet name="Legal &amp; Completion" sheetId="6" r:id="rId6"/>
    <sheet name="Client Reporting" sheetId="7" r:id="rId7"/>
  </sheets>
  <definedNames>
    <definedName name="_xlnm.Print_Area" localSheetId="4">'Bid Log'!$A$1:$O$14</definedName>
    <definedName name="_xlnm.Print_Area" localSheetId="3">'Buyer Pipeline'!$A$1:$O$23</definedName>
    <definedName name="_xlnm.Print_Area" localSheetId="6">'Client Reporting'!$A$1:$F$23</definedName>
    <definedName name="_xlnm.Print_Area" localSheetId="2">'Information &amp; Data Room'!$A$1:$F$21</definedName>
    <definedName name="_xlnm.Print_Area" localSheetId="5">'Legal &amp; Completion'!$A$1:$F$20</definedName>
    <definedName name="_xlnm.Print_Area" localSheetId="0">'Mandate Summary'!$A$1:$D$25</definedName>
    <definedName name="_xlnm.Print_Area" localSheetId="1">'Task Checklist'!$A$1:$G$48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5" l="1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E5" i="5"/>
  <c r="G4" i="5"/>
  <c r="F4" i="5"/>
  <c r="E4" i="5"/>
  <c r="B25" i="1"/>
  <c r="D24" i="1"/>
  <c r="B24" i="1"/>
  <c r="D23" i="1"/>
  <c r="B23" i="1"/>
  <c r="D22" i="1"/>
  <c r="B22" i="1"/>
  <c r="D21" i="1"/>
  <c r="B21" i="1"/>
</calcChain>
</file>

<file path=xl/sharedStrings.xml><?xml version="1.0" encoding="utf-8"?>
<sst xmlns="http://schemas.openxmlformats.org/spreadsheetml/2006/main" count="437" uniqueCount="211">
  <si>
    <t>MANDATE SUMMARY</t>
  </si>
  <si>
    <t>DEAL</t>
  </si>
  <si>
    <t>Property name</t>
  </si>
  <si>
    <t>Mandate ref</t>
  </si>
  <si>
    <t>Address</t>
  </si>
  <si>
    <t>Sector / asset type</t>
  </si>
  <si>
    <t>Client / vendor</t>
  </si>
  <si>
    <t>Tenure</t>
  </si>
  <si>
    <t>Sale structure (asset / share)</t>
  </si>
  <si>
    <t>VAT position (OTT / TOGC)</t>
  </si>
  <si>
    <t>MANDATE TERMS</t>
  </si>
  <si>
    <t>Mandate type</t>
  </si>
  <si>
    <t>Instruction date</t>
  </si>
  <si>
    <t>Agent / surveyor</t>
  </si>
  <si>
    <t>Fee basis</t>
  </si>
  <si>
    <t>Sending email account</t>
  </si>
  <si>
    <t>Abort fee</t>
  </si>
  <si>
    <t>Process type</t>
  </si>
  <si>
    <t>Send mode (auto / draft)</t>
  </si>
  <si>
    <t>Quoting price</t>
  </si>
  <si>
    <t>Target NIY</t>
  </si>
  <si>
    <t>KEY DATES</t>
  </si>
  <si>
    <t>Launch date</t>
  </si>
  <si>
    <t>Round 1 process letter</t>
  </si>
  <si>
    <t>Round 2 (best &amp; final)</t>
  </si>
  <si>
    <t>Preferred bidder selected</t>
  </si>
  <si>
    <t>Heads of Terms agreed</t>
  </si>
  <si>
    <t>Target exchange</t>
  </si>
  <si>
    <t>Target completion</t>
  </si>
  <si>
    <t>Actual completion</t>
  </si>
  <si>
    <t>LIVE STATUS (auto-calculated)</t>
  </si>
  <si>
    <t>Buyers on list</t>
  </si>
  <si>
    <t>NDAs issued</t>
  </si>
  <si>
    <t>NDAs signed</t>
  </si>
  <si>
    <t>Buyers qualified (AML + PoF)</t>
  </si>
  <si>
    <t>Round 1 bids received</t>
  </si>
  <si>
    <t>Round 2 bids received</t>
  </si>
  <si>
    <t>Round 3 bids received</t>
  </si>
  <si>
    <t>Highest offer (any round)</t>
  </si>
  <si>
    <t>Tasks outstanding</t>
  </si>
  <si>
    <t>Current stage</t>
  </si>
  <si>
    <t>Counts pull live from the other tabs and update on recalculation.</t>
  </si>
  <si>
    <t>TASK CHECKLIST  (full sale lifecycle)</t>
  </si>
  <si>
    <t>Phase</t>
  </si>
  <si>
    <t>Task</t>
  </si>
  <si>
    <t>Owner</t>
  </si>
  <si>
    <t>Status</t>
  </si>
  <si>
    <t>Due date</t>
  </si>
  <si>
    <t>Date done</t>
  </si>
  <si>
    <t>Automated by</t>
  </si>
  <si>
    <t>1. Mandate &amp; setup</t>
  </si>
  <si>
    <t>Agree and sign agency / sale mandate</t>
  </si>
  <si>
    <t>Agent</t>
  </si>
  <si>
    <t>Not started</t>
  </si>
  <si>
    <t>onboard-mandate</t>
  </si>
  <si>
    <t>Confirm fee basis, abort fee, marketing budget</t>
  </si>
  <si>
    <t>Confirm sale structure (asset vs share / SPV)</t>
  </si>
  <si>
    <t>Run AML / KYC on vendor and beneficial owners</t>
  </si>
  <si>
    <t>Confirm VAT position (OTT / TOGC) with client</t>
  </si>
  <si>
    <t>Agree process type and timetable</t>
  </si>
  <si>
    <t>Create deal folder, tracker and schedules</t>
  </si>
  <si>
    <t>setup-deal</t>
  </si>
  <si>
    <t>2. Information &amp; data room</t>
  </si>
  <si>
    <t>Collect title documents</t>
  </si>
  <si>
    <t>build-dataroom</t>
  </si>
  <si>
    <t>Collect leases, licences, deeds of variation</t>
  </si>
  <si>
    <t>Compile and verify tenancy schedule / rent roll</t>
  </si>
  <si>
    <t>Gather service charge budgets and accounts</t>
  </si>
  <si>
    <t>Obtain EPC(s) and confirm validity</t>
  </si>
  <si>
    <t>Obtain asbestos register, FRA, surveys</t>
  </si>
  <si>
    <t>Collect deposits, AGAs, guarantees</t>
  </si>
  <si>
    <t>Gather planning, building regs, warranties</t>
  </si>
  <si>
    <t>Commission / compile vendor due diligence</t>
  </si>
  <si>
    <t>Build and index the data room</t>
  </si>
  <si>
    <t>3. Marketing &amp; buyers</t>
  </si>
  <si>
    <t>Build and qualify target buyer list</t>
  </si>
  <si>
    <t>manual</t>
  </si>
  <si>
    <t>Prepare teaser and Information Memorandum</t>
  </si>
  <si>
    <t>Issue teaser, log expressions of interest</t>
  </si>
  <si>
    <t>review-inbox</t>
  </si>
  <si>
    <t>Issue NDAs to interested parties</t>
  </si>
  <si>
    <t>manage-ndas</t>
  </si>
  <si>
    <t>Chase unsigned NDAs (every 2 days)</t>
  </si>
  <si>
    <t>File signed NDAs, grant data room access</t>
  </si>
  <si>
    <t>Run buyer AML / KYC and proof of funds</t>
  </si>
  <si>
    <t>qualify-buyer</t>
  </si>
  <si>
    <t>Arrange inspections / tenant liaison</t>
  </si>
  <si>
    <t>Run and log data room Q&amp;A</t>
  </si>
  <si>
    <t>4. Bids &amp; offers</t>
  </si>
  <si>
    <t>Issue round 1 process letter</t>
  </si>
  <si>
    <t>request-bids</t>
  </si>
  <si>
    <t>Receive and log round 1 bids</t>
  </si>
  <si>
    <t>process-bids</t>
  </si>
  <si>
    <t>Analyse bids, report to client</t>
  </si>
  <si>
    <t>Issue round 2 best-and-final process letter</t>
  </si>
  <si>
    <t>Log round 2 bids and compare rounds</t>
  </si>
  <si>
    <t>Notify unsuccessful bidders</t>
  </si>
  <si>
    <t>select-and-hot</t>
  </si>
  <si>
    <t>5. Preferred bidder &amp; HoT</t>
  </si>
  <si>
    <t>Select preferred bidder with client</t>
  </si>
  <si>
    <t>Negotiate and agree Heads of Terms</t>
  </si>
  <si>
    <t>Confirm exclusivity / lockout</t>
  </si>
  <si>
    <t>6. Legal &amp; completion</t>
  </si>
  <si>
    <t>Instruct vendor solicitors, issue contract pack</t>
  </si>
  <si>
    <t>Solicitor</t>
  </si>
  <si>
    <t>track-legals</t>
  </si>
  <si>
    <t>Coordinate CPSE replies and enquiries</t>
  </si>
  <si>
    <t>Support due diligence and searches</t>
  </si>
  <si>
    <t>Manage deposit and exchange</t>
  </si>
  <si>
    <t>Coordinate to completion and apportionments</t>
  </si>
  <si>
    <t>Tenant / managing agent handover</t>
  </si>
  <si>
    <t>7. Reporting &amp; close</t>
  </si>
  <si>
    <t>Regular (weekly) client progress reports</t>
  </si>
  <si>
    <t>client-report</t>
  </si>
  <si>
    <t>Close data room, archive records</t>
  </si>
  <si>
    <t>Invoice fee and disbursements</t>
  </si>
  <si>
    <t>Issue final closing report to client</t>
  </si>
  <si>
    <t>INFORMATION &amp; DATA ROOM CHECKLIST</t>
  </si>
  <si>
    <t>Category</t>
  </si>
  <si>
    <t>Document</t>
  </si>
  <si>
    <t>Received</t>
  </si>
  <si>
    <t>In data room</t>
  </si>
  <si>
    <t>Date</t>
  </si>
  <si>
    <t>Notes</t>
  </si>
  <si>
    <t>Title</t>
  </si>
  <si>
    <t>Official copies of register and title plan</t>
  </si>
  <si>
    <t>No</t>
  </si>
  <si>
    <t>Filed documents / restrictive covenants</t>
  </si>
  <si>
    <t>Leasing</t>
  </si>
  <si>
    <t>Leases, underleases and counterparts</t>
  </si>
  <si>
    <t>Licences and deeds of variation / side letters</t>
  </si>
  <si>
    <t>Tenancy schedule / rent roll (verified)</t>
  </si>
  <si>
    <t>Rent deposit deeds and AGAs / guarantees</t>
  </si>
  <si>
    <t>Financial</t>
  </si>
  <si>
    <t>Service charge budgets and reconciled accounts</t>
  </si>
  <si>
    <t>Arrears report and rent receipts</t>
  </si>
  <si>
    <t>Compliance</t>
  </si>
  <si>
    <t>EPC certificate(s)</t>
  </si>
  <si>
    <t>Asbestos register / survey</t>
  </si>
  <si>
    <t>Fire risk assessment</t>
  </si>
  <si>
    <t>Condition / structural / M&amp;E surveys</t>
  </si>
  <si>
    <t>Planning</t>
  </si>
  <si>
    <t>Planning consents and conditions</t>
  </si>
  <si>
    <t>Building regulations approvals</t>
  </si>
  <si>
    <t>Collateral warranties / latent defects cover</t>
  </si>
  <si>
    <t>Management</t>
  </si>
  <si>
    <t>Management agreement and managing agent details</t>
  </si>
  <si>
    <t>Diligence</t>
  </si>
  <si>
    <t>Vendor due diligence report</t>
  </si>
  <si>
    <t>Replies to standard pre-contract enquiries (CPSE)</t>
  </si>
  <si>
    <t>BUYER PIPELINE</t>
  </si>
  <si>
    <t>Buyer</t>
  </si>
  <si>
    <t>Company</t>
  </si>
  <si>
    <t>Contact email</t>
  </si>
  <si>
    <t>Enquiry date</t>
  </si>
  <si>
    <t>NDA status</t>
  </si>
  <si>
    <t>NDA sent</t>
  </si>
  <si>
    <t>Last chase</t>
  </si>
  <si>
    <t>Chase count</t>
  </si>
  <si>
    <t>NDA signed</t>
  </si>
  <si>
    <t>AML/KYC</t>
  </si>
  <si>
    <t>Proof of funds</t>
  </si>
  <si>
    <t>R1 bid</t>
  </si>
  <si>
    <t>R2 bid</t>
  </si>
  <si>
    <t>R3 bid</t>
  </si>
  <si>
    <t>BID COMPARISON</t>
  </si>
  <si>
    <t>(property):  Round 1 bid comparison        Prepared 07 Jun 2026</t>
  </si>
  <si>
    <t>Bidder</t>
  </si>
  <si>
    <t>R1 price</t>
  </si>
  <si>
    <t>R2 price</t>
  </si>
  <si>
    <t>R3 price</t>
  </si>
  <si>
    <t>Chg R1&gt;R2</t>
  </si>
  <si>
    <t>Chg R2&gt;R3</t>
  </si>
  <si>
    <t>Latest offer</t>
  </si>
  <si>
    <t>R1 NIY</t>
  </si>
  <si>
    <t>R2 NIY</t>
  </si>
  <si>
    <t>R3 NIY</t>
  </si>
  <si>
    <t>Movement</t>
  </si>
  <si>
    <t>Conditions (latest)</t>
  </si>
  <si>
    <t>Completion (latest)</t>
  </si>
  <si>
    <t>Funding / PoF</t>
  </si>
  <si>
    <t>Movement: Improved / Held / Reduced compares a bidder's latest round with their previous round. Withdrawn = bid in an earlier round, none in the current round. New = first bid after round 1.</t>
  </si>
  <si>
    <t>To send to the client, select rows 1 to 11 and copy into the report. Figures are exclusive of VAT and costs.</t>
  </si>
  <si>
    <t>LEGAL &amp; COMPLETION MILESTONES</t>
  </si>
  <si>
    <t>Milestone</t>
  </si>
  <si>
    <t>Responsible</t>
  </si>
  <si>
    <t>Target date</t>
  </si>
  <si>
    <t>Actual date</t>
  </si>
  <si>
    <t>Preferred bidder confirmed</t>
  </si>
  <si>
    <t>Heads of Terms agreed and circulated</t>
  </si>
  <si>
    <t>Exclusivity / lockout in place</t>
  </si>
  <si>
    <t>Vendor solicitors instructed</t>
  </si>
  <si>
    <t>Contract pack issued to buyer solicitors</t>
  </si>
  <si>
    <t>CPSE replies provided</t>
  </si>
  <si>
    <t>Buyer searches submitted</t>
  </si>
  <si>
    <t>Pre-contract enquiries answered</t>
  </si>
  <si>
    <t>Buyer board / IC approval confirmed</t>
  </si>
  <si>
    <t>Buyer funding confirmed</t>
  </si>
  <si>
    <t>Contract approved / engrossed</t>
  </si>
  <si>
    <t>Exchange of contracts</t>
  </si>
  <si>
    <t>Deposit received</t>
  </si>
  <si>
    <t>Completion</t>
  </si>
  <si>
    <t>Completion statement and apportionments</t>
  </si>
  <si>
    <t>Notices to tenants / rent authority</t>
  </si>
  <si>
    <t>Managing agent handover</t>
  </si>
  <si>
    <t>CLIENT REPORTING LOG</t>
  </si>
  <si>
    <t>Report type</t>
  </si>
  <si>
    <t>Period covered</t>
  </si>
  <si>
    <t>Sent to</t>
  </si>
  <si>
    <t>Method</t>
  </si>
  <si>
    <t>Summary /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</si>
</sst>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;&quot;(£&quot;#,##0\);\-"/>
  </numFmts>
  <fonts count="8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1F4E45"/>
      <name val="Arial"/>
      <charset val="1"/>
    </font>
    <font>
      <sz val="10"/>
      <name val="Arial"/>
      <charset val="1"/>
    </font>
    <font>
      <b/>
      <sz val="11"/>
      <color rgb="FF000000"/>
      <name val="Arial"/>
      <charset val="1"/>
    </font>
    <font>
      <b/>
      <sz val="11"/>
      <color rgb="FFB98A2E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45"/>
        <bgColor rgb="FF2E6B5E"/>
      </patternFill>
    </fill>
    <fill>
      <patternFill patternType="solid">
        <fgColor rgb="FFE8F0EE"/>
        <bgColor rgb="FFF2F2F2"/>
      </patternFill>
    </fill>
    <fill>
      <patternFill patternType="solid">
        <fgColor rgb="FF2E6B5E"/>
        <bgColor rgb="FF1F4E45"/>
      </patternFill>
    </fill>
    <fill>
      <patternFill patternType="solid">
        <fgColor rgb="FFF2F2F2"/>
        <bgColor rgb="FFE8F0EE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 indent="1"/>
    </xf>
    <xf numFmtId="0" fontId="6" fillId="0" borderId="0" xfId="0" applyFont="1"/>
    <xf numFmtId="0" fontId="2" fillId="3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1" xfId="0" applyFont="1" applyBorder="1" applyAlignment="1">
      <alignment vertical="center" indent="1"/>
    </xf>
    <xf numFmtId="0" fontId="3" fillId="0" borderId="1" xfId="0" applyFont="1" applyBorder="1" applyAlignment="1">
      <alignment vertical="center" wrapText="1" indent="1"/>
    </xf>
    <xf numFmtId="0" fontId="7" fillId="4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vertical="center" wrapText="1" indent="1"/>
    </xf>
    <xf numFmtId="164" fontId="3" fillId="5" borderId="1" xfId="0" applyNumberFormat="1" applyFont="1" applyFill="1" applyBorder="1" applyAlignment="1">
      <alignment vertical="center" wrapText="1" indent="1"/>
    </xf>
    <xf numFmtId="10" fontId="3" fillId="5" borderId="1" xfId="0" applyNumberFormat="1" applyFont="1" applyFill="1" applyBorder="1" applyAlignment="1">
      <alignment vertical="center" wrapText="1" indent="1"/>
    </xf>
    <xf numFmtId="164" fontId="3" fillId="0" borderId="1" xfId="0" applyNumberFormat="1" applyFont="1" applyBorder="1" applyAlignment="1">
      <alignment vertical="center" wrapText="1" indent="1"/>
    </xf>
    <xf numFmtId="10" fontId="3" fillId="0" borderId="1" xfId="0" applyNumberFormat="1" applyFont="1" applyBorder="1" applyAlignment="1">
      <alignment vertical="center" wrapText="1" indent="1"/>
    </xf>
    <xf numFmtId="0" fontId="4" fillId="6" borderId="1" xfId="0" applyFont="1" applyFill="1" applyBorder="1" applyAlignment="1">
      <alignment horizontal="right" vertical="center" indent="1"/>
    </xf>
    <xf numFmtId="164" fontId="5" fillId="6" borderId="1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A2E"/>
      <rgbColor rgb="FF800080"/>
      <rgbColor rgb="FF2E6B5E"/>
      <rgbColor rgb="FFC9C9C9"/>
      <rgbColor rgb="FF808080"/>
      <rgbColor rgb="FF9999FF"/>
      <rgbColor rgb="FF993366"/>
      <rgbColor rgb="FFF2F2F2"/>
      <rgbColor rgb="FFE8F0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showGridLines="0" tabSelected="1" view="pageBreakPreview" zoomScaleNormal="100" zoomScaleSheetLayoutView="100" workbookViewId="0">
      <selection sqref="A1:D1"/>
    </sheetView>
  </sheetViews>
  <sheetFormatPr defaultColWidth="8.7109375" defaultRowHeight="15" x14ac:dyDescent="0.25"/>
  <cols>
    <col min="1" max="1" width="28.42578125" bestFit="1" customWidth="1"/>
    <col min="2" max="2" width="34" customWidth="1"/>
    <col min="3" max="3" width="29.140625" bestFit="1" customWidth="1"/>
    <col min="4" max="4" width="34" customWidth="1"/>
  </cols>
  <sheetData>
    <row r="1" spans="1:4" ht="30" customHeight="1" x14ac:dyDescent="0.25">
      <c r="A1" s="4" t="s">
        <v>0</v>
      </c>
      <c r="B1" s="4"/>
      <c r="C1" s="4"/>
      <c r="D1" s="4"/>
    </row>
    <row r="3" spans="1:4" x14ac:dyDescent="0.25">
      <c r="A3" s="3" t="s">
        <v>1</v>
      </c>
      <c r="B3" s="3"/>
      <c r="C3" s="3"/>
      <c r="D3" s="3"/>
    </row>
    <row r="4" spans="1:4" x14ac:dyDescent="0.25">
      <c r="A4" s="5" t="s">
        <v>2</v>
      </c>
      <c r="B4" s="6"/>
      <c r="C4" s="5" t="s">
        <v>3</v>
      </c>
      <c r="D4" s="6"/>
    </row>
    <row r="5" spans="1:4" x14ac:dyDescent="0.25">
      <c r="A5" s="5" t="s">
        <v>4</v>
      </c>
      <c r="B5" s="6"/>
      <c r="C5" s="5" t="s">
        <v>5</v>
      </c>
      <c r="D5" s="6"/>
    </row>
    <row r="6" spans="1:4" x14ac:dyDescent="0.25">
      <c r="A6" s="5" t="s">
        <v>6</v>
      </c>
      <c r="B6" s="6"/>
      <c r="C6" s="5" t="s">
        <v>7</v>
      </c>
      <c r="D6" s="6"/>
    </row>
    <row r="7" spans="1:4" x14ac:dyDescent="0.25">
      <c r="A7" s="5" t="s">
        <v>8</v>
      </c>
      <c r="B7" s="6"/>
      <c r="C7" s="5" t="s">
        <v>9</v>
      </c>
      <c r="D7" s="6"/>
    </row>
    <row r="8" spans="1:4" x14ac:dyDescent="0.25">
      <c r="A8" s="3" t="s">
        <v>10</v>
      </c>
      <c r="B8" s="3"/>
      <c r="C8" s="3"/>
      <c r="D8" s="3"/>
    </row>
    <row r="9" spans="1:4" x14ac:dyDescent="0.25">
      <c r="A9" s="5" t="s">
        <v>11</v>
      </c>
      <c r="B9" s="6"/>
      <c r="C9" s="5" t="s">
        <v>12</v>
      </c>
      <c r="D9" s="6"/>
    </row>
    <row r="10" spans="1:4" x14ac:dyDescent="0.25">
      <c r="A10" s="5" t="s">
        <v>13</v>
      </c>
      <c r="B10" s="6"/>
      <c r="C10" s="5" t="s">
        <v>14</v>
      </c>
      <c r="D10" s="6"/>
    </row>
    <row r="11" spans="1:4" x14ac:dyDescent="0.25">
      <c r="A11" s="5" t="s">
        <v>15</v>
      </c>
      <c r="B11" s="6"/>
      <c r="C11" s="5" t="s">
        <v>16</v>
      </c>
      <c r="D11" s="6"/>
    </row>
    <row r="12" spans="1:4" x14ac:dyDescent="0.25">
      <c r="A12" s="5" t="s">
        <v>17</v>
      </c>
      <c r="B12" s="6"/>
      <c r="C12" s="5" t="s">
        <v>18</v>
      </c>
      <c r="D12" s="6"/>
    </row>
    <row r="13" spans="1:4" x14ac:dyDescent="0.25">
      <c r="A13" s="5" t="s">
        <v>19</v>
      </c>
      <c r="B13" s="6"/>
      <c r="C13" s="5" t="s">
        <v>20</v>
      </c>
      <c r="D13" s="6"/>
    </row>
    <row r="14" spans="1:4" x14ac:dyDescent="0.25">
      <c r="A14" s="3" t="s">
        <v>21</v>
      </c>
      <c r="B14" s="3"/>
      <c r="C14" s="3"/>
      <c r="D14" s="3"/>
    </row>
    <row r="15" spans="1:4" x14ac:dyDescent="0.25">
      <c r="A15" s="5" t="s">
        <v>22</v>
      </c>
      <c r="B15" s="6"/>
      <c r="C15" s="5" t="s">
        <v>23</v>
      </c>
      <c r="D15" s="6"/>
    </row>
    <row r="16" spans="1:4" x14ac:dyDescent="0.25">
      <c r="A16" s="5" t="s">
        <v>24</v>
      </c>
      <c r="B16" s="6"/>
      <c r="C16" s="5" t="s">
        <v>25</v>
      </c>
      <c r="D16" s="6"/>
    </row>
    <row r="17" spans="1:4" x14ac:dyDescent="0.25">
      <c r="A17" s="5" t="s">
        <v>26</v>
      </c>
      <c r="B17" s="6"/>
      <c r="C17" s="5" t="s">
        <v>27</v>
      </c>
      <c r="D17" s="6"/>
    </row>
    <row r="18" spans="1:4" x14ac:dyDescent="0.25">
      <c r="A18" s="5" t="s">
        <v>28</v>
      </c>
      <c r="B18" s="6"/>
      <c r="C18" s="5" t="s">
        <v>29</v>
      </c>
      <c r="D18" s="6"/>
    </row>
    <row r="20" spans="1:4" x14ac:dyDescent="0.25">
      <c r="A20" s="3" t="s">
        <v>30</v>
      </c>
      <c r="B20" s="3"/>
      <c r="C20" s="3"/>
      <c r="D20" s="3"/>
    </row>
    <row r="21" spans="1:4" x14ac:dyDescent="0.25">
      <c r="A21" s="5" t="s">
        <v>31</v>
      </c>
      <c r="B21" s="13">
        <f>COUNTA('Buyer Pipeline'!A4:A203)</f>
        <v>0</v>
      </c>
      <c r="C21" s="5" t="s">
        <v>32</v>
      </c>
      <c r="D21" s="13">
        <f>COUNTIF('Buyer Pipeline'!E4:E203,"Sent")+COUNTIF('Buyer Pipeline'!E4:E203,"Signed")</f>
        <v>0</v>
      </c>
    </row>
    <row r="22" spans="1:4" x14ac:dyDescent="0.25">
      <c r="A22" s="5" t="s">
        <v>33</v>
      </c>
      <c r="B22" s="13">
        <f>COUNTIF('Buyer Pipeline'!E4:E203,"Signed")</f>
        <v>0</v>
      </c>
      <c r="C22" s="5" t="s">
        <v>34</v>
      </c>
      <c r="D22" s="13">
        <f>COUNTIFS('Buyer Pipeline'!J4:J203,"Clear",'Buyer Pipeline'!K4:K203,"Verified")</f>
        <v>0</v>
      </c>
    </row>
    <row r="23" spans="1:4" x14ac:dyDescent="0.25">
      <c r="A23" s="5" t="s">
        <v>35</v>
      </c>
      <c r="B23" s="13">
        <f>COUNTIF('Buyer Pipeline'!L4:L203,"Received")</f>
        <v>0</v>
      </c>
      <c r="C23" s="5" t="s">
        <v>36</v>
      </c>
      <c r="D23" s="13">
        <f>COUNTIF('Buyer Pipeline'!M4:M203,"Received")</f>
        <v>0</v>
      </c>
    </row>
    <row r="24" spans="1:4" x14ac:dyDescent="0.25">
      <c r="A24" s="5" t="s">
        <v>37</v>
      </c>
      <c r="B24" s="13">
        <f>COUNTIF('Buyer Pipeline'!N4:N203,"Received")</f>
        <v>0</v>
      </c>
      <c r="C24" s="5" t="s">
        <v>38</v>
      </c>
      <c r="D24" s="14">
        <f>MAX('Bid Log'!B4:D203)</f>
        <v>0</v>
      </c>
    </row>
    <row r="25" spans="1:4" x14ac:dyDescent="0.25">
      <c r="A25" s="5" t="s">
        <v>39</v>
      </c>
      <c r="B25" s="13">
        <f>COUNTIF('Task Checklist'!D4:D200,"Not started")+COUNTIF('Task Checklist'!D4:D200,"In progress")</f>
        <v>45</v>
      </c>
      <c r="C25" s="5" t="s">
        <v>40</v>
      </c>
      <c r="D25" s="13"/>
    </row>
    <row r="27" spans="1:4" x14ac:dyDescent="0.25">
      <c r="A27" s="2" t="s">
        <v>41</v>
      </c>
      <c r="B27" s="2"/>
      <c r="C27" s="2"/>
      <c r="D27" s="2"/>
    </row>
  </sheetData>
  <mergeCells count="6">
    <mergeCell ref="A27:D27"/>
    <mergeCell ref="A1:D1"/>
    <mergeCell ref="A3:D3"/>
    <mergeCell ref="A8:D8"/>
    <mergeCell ref="A14:D14"/>
    <mergeCell ref="A20:D20"/>
  </mergeCells>
  <pageMargins left="0.75" right="0.75" top="1" bottom="1" header="0.511811023622047" footer="0.511811023622047"/>
  <pageSetup paperSize="9" scale="6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8"/>
  <sheetViews>
    <sheetView showGridLines="0" view="pageBreakPreview" zoomScaleNormal="100" zoomScaleSheetLayoutView="100" workbookViewId="0">
      <pane ySplit="3" topLeftCell="A4" activePane="bottomLeft" state="frozen"/>
      <selection sqref="A1:F23"/>
      <selection pane="bottomLeft" sqref="A1:G1"/>
    </sheetView>
  </sheetViews>
  <sheetFormatPr defaultColWidth="8.7109375" defaultRowHeight="15" x14ac:dyDescent="0.25"/>
  <cols>
    <col min="1" max="1" width="29" customWidth="1"/>
    <col min="2" max="2" width="48" customWidth="1"/>
    <col min="3" max="4" width="16" customWidth="1"/>
    <col min="5" max="6" width="13" customWidth="1"/>
    <col min="7" max="7" width="30" customWidth="1"/>
  </cols>
  <sheetData>
    <row r="1" spans="1:7" ht="30" customHeight="1" x14ac:dyDescent="0.25">
      <c r="A1" s="4" t="s">
        <v>42</v>
      </c>
      <c r="B1" s="4"/>
      <c r="C1" s="4"/>
      <c r="D1" s="4"/>
      <c r="E1" s="4"/>
      <c r="F1" s="4"/>
      <c r="G1" s="4"/>
    </row>
    <row r="3" spans="1:7" ht="30" customHeight="1" x14ac:dyDescent="0.25">
      <c r="A3" s="7" t="s">
        <v>43</v>
      </c>
      <c r="B3" s="7" t="s">
        <v>44</v>
      </c>
      <c r="C3" s="7" t="s">
        <v>45</v>
      </c>
      <c r="D3" s="7" t="s">
        <v>46</v>
      </c>
      <c r="E3" s="7" t="s">
        <v>47</v>
      </c>
      <c r="F3" s="7" t="s">
        <v>48</v>
      </c>
      <c r="G3" s="7" t="s">
        <v>49</v>
      </c>
    </row>
    <row r="4" spans="1:7" ht="18" customHeight="1" x14ac:dyDescent="0.25">
      <c r="A4" s="8" t="s">
        <v>50</v>
      </c>
      <c r="B4" s="8" t="s">
        <v>51</v>
      </c>
      <c r="C4" s="8" t="s">
        <v>52</v>
      </c>
      <c r="D4" s="8" t="s">
        <v>53</v>
      </c>
      <c r="E4" s="8"/>
      <c r="F4" s="8"/>
      <c r="G4" s="8" t="s">
        <v>54</v>
      </c>
    </row>
    <row r="5" spans="1:7" ht="18" customHeight="1" x14ac:dyDescent="0.25">
      <c r="A5" s="6" t="s">
        <v>50</v>
      </c>
      <c r="B5" s="6" t="s">
        <v>55</v>
      </c>
      <c r="C5" s="6" t="s">
        <v>52</v>
      </c>
      <c r="D5" s="6" t="s">
        <v>53</v>
      </c>
      <c r="E5" s="6"/>
      <c r="F5" s="6"/>
      <c r="G5" s="6" t="s">
        <v>54</v>
      </c>
    </row>
    <row r="6" spans="1:7" ht="18" customHeight="1" x14ac:dyDescent="0.25">
      <c r="A6" s="8" t="s">
        <v>50</v>
      </c>
      <c r="B6" s="8" t="s">
        <v>56</v>
      </c>
      <c r="C6" s="8" t="s">
        <v>52</v>
      </c>
      <c r="D6" s="8" t="s">
        <v>53</v>
      </c>
      <c r="E6" s="8"/>
      <c r="F6" s="8"/>
      <c r="G6" s="8" t="s">
        <v>54</v>
      </c>
    </row>
    <row r="7" spans="1:7" ht="18" customHeight="1" x14ac:dyDescent="0.25">
      <c r="A7" s="6" t="s">
        <v>50</v>
      </c>
      <c r="B7" s="6" t="s">
        <v>57</v>
      </c>
      <c r="C7" s="6" t="s">
        <v>52</v>
      </c>
      <c r="D7" s="6" t="s">
        <v>53</v>
      </c>
      <c r="E7" s="6"/>
      <c r="F7" s="6"/>
      <c r="G7" s="6" t="s">
        <v>54</v>
      </c>
    </row>
    <row r="8" spans="1:7" ht="18" customHeight="1" x14ac:dyDescent="0.25">
      <c r="A8" s="8" t="s">
        <v>50</v>
      </c>
      <c r="B8" s="8" t="s">
        <v>58</v>
      </c>
      <c r="C8" s="8" t="s">
        <v>52</v>
      </c>
      <c r="D8" s="8" t="s">
        <v>53</v>
      </c>
      <c r="E8" s="8"/>
      <c r="F8" s="8"/>
      <c r="G8" s="8" t="s">
        <v>54</v>
      </c>
    </row>
    <row r="9" spans="1:7" ht="18" customHeight="1" x14ac:dyDescent="0.25">
      <c r="A9" s="6" t="s">
        <v>50</v>
      </c>
      <c r="B9" s="6" t="s">
        <v>59</v>
      </c>
      <c r="C9" s="6" t="s">
        <v>52</v>
      </c>
      <c r="D9" s="6" t="s">
        <v>53</v>
      </c>
      <c r="E9" s="6"/>
      <c r="F9" s="6"/>
      <c r="G9" s="6" t="s">
        <v>54</v>
      </c>
    </row>
    <row r="10" spans="1:7" ht="18" customHeight="1" x14ac:dyDescent="0.25">
      <c r="A10" s="8" t="s">
        <v>50</v>
      </c>
      <c r="B10" s="8" t="s">
        <v>60</v>
      </c>
      <c r="C10" s="8" t="s">
        <v>52</v>
      </c>
      <c r="D10" s="8" t="s">
        <v>53</v>
      </c>
      <c r="E10" s="8"/>
      <c r="F10" s="8"/>
      <c r="G10" s="8" t="s">
        <v>61</v>
      </c>
    </row>
    <row r="11" spans="1:7" ht="18" customHeight="1" x14ac:dyDescent="0.25">
      <c r="A11" s="6" t="s">
        <v>62</v>
      </c>
      <c r="B11" s="6" t="s">
        <v>63</v>
      </c>
      <c r="C11" s="6" t="s">
        <v>52</v>
      </c>
      <c r="D11" s="6" t="s">
        <v>53</v>
      </c>
      <c r="E11" s="6"/>
      <c r="F11" s="6"/>
      <c r="G11" s="6" t="s">
        <v>64</v>
      </c>
    </row>
    <row r="12" spans="1:7" ht="18" customHeight="1" x14ac:dyDescent="0.25">
      <c r="A12" s="8" t="s">
        <v>62</v>
      </c>
      <c r="B12" s="8" t="s">
        <v>65</v>
      </c>
      <c r="C12" s="8" t="s">
        <v>52</v>
      </c>
      <c r="D12" s="8" t="s">
        <v>53</v>
      </c>
      <c r="E12" s="8"/>
      <c r="F12" s="8"/>
      <c r="G12" s="8" t="s">
        <v>64</v>
      </c>
    </row>
    <row r="13" spans="1:7" ht="18" customHeight="1" x14ac:dyDescent="0.25">
      <c r="A13" s="6" t="s">
        <v>62</v>
      </c>
      <c r="B13" s="6" t="s">
        <v>66</v>
      </c>
      <c r="C13" s="6" t="s">
        <v>52</v>
      </c>
      <c r="D13" s="6" t="s">
        <v>53</v>
      </c>
      <c r="E13" s="6"/>
      <c r="F13" s="6"/>
      <c r="G13" s="6" t="s">
        <v>64</v>
      </c>
    </row>
    <row r="14" spans="1:7" ht="18" customHeight="1" x14ac:dyDescent="0.25">
      <c r="A14" s="8" t="s">
        <v>62</v>
      </c>
      <c r="B14" s="8" t="s">
        <v>67</v>
      </c>
      <c r="C14" s="8" t="s">
        <v>52</v>
      </c>
      <c r="D14" s="8" t="s">
        <v>53</v>
      </c>
      <c r="E14" s="8"/>
      <c r="F14" s="8"/>
      <c r="G14" s="8" t="s">
        <v>64</v>
      </c>
    </row>
    <row r="15" spans="1:7" ht="18" customHeight="1" x14ac:dyDescent="0.25">
      <c r="A15" s="6" t="s">
        <v>62</v>
      </c>
      <c r="B15" s="6" t="s">
        <v>68</v>
      </c>
      <c r="C15" s="6" t="s">
        <v>52</v>
      </c>
      <c r="D15" s="6" t="s">
        <v>53</v>
      </c>
      <c r="E15" s="6"/>
      <c r="F15" s="6"/>
      <c r="G15" s="6" t="s">
        <v>64</v>
      </c>
    </row>
    <row r="16" spans="1:7" ht="18" customHeight="1" x14ac:dyDescent="0.25">
      <c r="A16" s="8" t="s">
        <v>62</v>
      </c>
      <c r="B16" s="8" t="s">
        <v>69</v>
      </c>
      <c r="C16" s="8" t="s">
        <v>52</v>
      </c>
      <c r="D16" s="8" t="s">
        <v>53</v>
      </c>
      <c r="E16" s="8"/>
      <c r="F16" s="8"/>
      <c r="G16" s="8" t="s">
        <v>64</v>
      </c>
    </row>
    <row r="17" spans="1:7" ht="18" customHeight="1" x14ac:dyDescent="0.25">
      <c r="A17" s="6" t="s">
        <v>62</v>
      </c>
      <c r="B17" s="6" t="s">
        <v>70</v>
      </c>
      <c r="C17" s="6" t="s">
        <v>52</v>
      </c>
      <c r="D17" s="6" t="s">
        <v>53</v>
      </c>
      <c r="E17" s="6"/>
      <c r="F17" s="6"/>
      <c r="G17" s="6" t="s">
        <v>64</v>
      </c>
    </row>
    <row r="18" spans="1:7" ht="18" customHeight="1" x14ac:dyDescent="0.25">
      <c r="A18" s="8" t="s">
        <v>62</v>
      </c>
      <c r="B18" s="8" t="s">
        <v>71</v>
      </c>
      <c r="C18" s="8" t="s">
        <v>52</v>
      </c>
      <c r="D18" s="8" t="s">
        <v>53</v>
      </c>
      <c r="E18" s="8"/>
      <c r="F18" s="8"/>
      <c r="G18" s="8" t="s">
        <v>64</v>
      </c>
    </row>
    <row r="19" spans="1:7" ht="18" customHeight="1" x14ac:dyDescent="0.25">
      <c r="A19" s="6" t="s">
        <v>62</v>
      </c>
      <c r="B19" s="6" t="s">
        <v>72</v>
      </c>
      <c r="C19" s="6" t="s">
        <v>52</v>
      </c>
      <c r="D19" s="6" t="s">
        <v>53</v>
      </c>
      <c r="E19" s="6"/>
      <c r="F19" s="6"/>
      <c r="G19" s="6" t="s">
        <v>64</v>
      </c>
    </row>
    <row r="20" spans="1:7" ht="18" customHeight="1" x14ac:dyDescent="0.25">
      <c r="A20" s="8" t="s">
        <v>62</v>
      </c>
      <c r="B20" s="8" t="s">
        <v>73</v>
      </c>
      <c r="C20" s="8" t="s">
        <v>52</v>
      </c>
      <c r="D20" s="8" t="s">
        <v>53</v>
      </c>
      <c r="E20" s="8"/>
      <c r="F20" s="8"/>
      <c r="G20" s="8" t="s">
        <v>64</v>
      </c>
    </row>
    <row r="21" spans="1:7" ht="18" customHeight="1" x14ac:dyDescent="0.25">
      <c r="A21" s="6" t="s">
        <v>74</v>
      </c>
      <c r="B21" s="6" t="s">
        <v>75</v>
      </c>
      <c r="C21" s="6" t="s">
        <v>52</v>
      </c>
      <c r="D21" s="6" t="s">
        <v>53</v>
      </c>
      <c r="E21" s="6"/>
      <c r="F21" s="6"/>
      <c r="G21" s="6" t="s">
        <v>76</v>
      </c>
    </row>
    <row r="22" spans="1:7" ht="18" customHeight="1" x14ac:dyDescent="0.25">
      <c r="A22" s="8" t="s">
        <v>74</v>
      </c>
      <c r="B22" s="8" t="s">
        <v>77</v>
      </c>
      <c r="C22" s="8" t="s">
        <v>52</v>
      </c>
      <c r="D22" s="8" t="s">
        <v>53</v>
      </c>
      <c r="E22" s="8"/>
      <c r="F22" s="8"/>
      <c r="G22" s="8" t="s">
        <v>76</v>
      </c>
    </row>
    <row r="23" spans="1:7" ht="18" customHeight="1" x14ac:dyDescent="0.25">
      <c r="A23" s="6" t="s">
        <v>74</v>
      </c>
      <c r="B23" s="6" t="s">
        <v>78</v>
      </c>
      <c r="C23" s="6" t="s">
        <v>52</v>
      </c>
      <c r="D23" s="6" t="s">
        <v>53</v>
      </c>
      <c r="E23" s="6"/>
      <c r="F23" s="6"/>
      <c r="G23" s="6" t="s">
        <v>79</v>
      </c>
    </row>
    <row r="24" spans="1:7" ht="18" customHeight="1" x14ac:dyDescent="0.25">
      <c r="A24" s="8" t="s">
        <v>74</v>
      </c>
      <c r="B24" s="8" t="s">
        <v>80</v>
      </c>
      <c r="C24" s="8" t="s">
        <v>52</v>
      </c>
      <c r="D24" s="8" t="s">
        <v>53</v>
      </c>
      <c r="E24" s="8"/>
      <c r="F24" s="8"/>
      <c r="G24" s="8" t="s">
        <v>81</v>
      </c>
    </row>
    <row r="25" spans="1:7" ht="18" customHeight="1" x14ac:dyDescent="0.25">
      <c r="A25" s="6" t="s">
        <v>74</v>
      </c>
      <c r="B25" s="6" t="s">
        <v>82</v>
      </c>
      <c r="C25" s="6" t="s">
        <v>52</v>
      </c>
      <c r="D25" s="6" t="s">
        <v>53</v>
      </c>
      <c r="E25" s="6"/>
      <c r="F25" s="6"/>
      <c r="G25" s="6" t="s">
        <v>81</v>
      </c>
    </row>
    <row r="26" spans="1:7" ht="18" customHeight="1" x14ac:dyDescent="0.25">
      <c r="A26" s="8" t="s">
        <v>74</v>
      </c>
      <c r="B26" s="8" t="s">
        <v>83</v>
      </c>
      <c r="C26" s="8" t="s">
        <v>52</v>
      </c>
      <c r="D26" s="8" t="s">
        <v>53</v>
      </c>
      <c r="E26" s="8"/>
      <c r="F26" s="8"/>
      <c r="G26" s="8" t="s">
        <v>79</v>
      </c>
    </row>
    <row r="27" spans="1:7" ht="18" customHeight="1" x14ac:dyDescent="0.25">
      <c r="A27" s="6" t="s">
        <v>74</v>
      </c>
      <c r="B27" s="6" t="s">
        <v>84</v>
      </c>
      <c r="C27" s="6" t="s">
        <v>52</v>
      </c>
      <c r="D27" s="6" t="s">
        <v>53</v>
      </c>
      <c r="E27" s="6"/>
      <c r="F27" s="6"/>
      <c r="G27" s="6" t="s">
        <v>85</v>
      </c>
    </row>
    <row r="28" spans="1:7" ht="18" customHeight="1" x14ac:dyDescent="0.25">
      <c r="A28" s="8" t="s">
        <v>74</v>
      </c>
      <c r="B28" s="8" t="s">
        <v>86</v>
      </c>
      <c r="C28" s="8" t="s">
        <v>52</v>
      </c>
      <c r="D28" s="8" t="s">
        <v>53</v>
      </c>
      <c r="E28" s="8"/>
      <c r="F28" s="8"/>
      <c r="G28" s="8" t="s">
        <v>76</v>
      </c>
    </row>
    <row r="29" spans="1:7" ht="18" customHeight="1" x14ac:dyDescent="0.25">
      <c r="A29" s="6" t="s">
        <v>74</v>
      </c>
      <c r="B29" s="6" t="s">
        <v>87</v>
      </c>
      <c r="C29" s="6" t="s">
        <v>52</v>
      </c>
      <c r="D29" s="6" t="s">
        <v>53</v>
      </c>
      <c r="E29" s="6"/>
      <c r="F29" s="6"/>
      <c r="G29" s="6" t="s">
        <v>76</v>
      </c>
    </row>
    <row r="30" spans="1:7" ht="18" customHeight="1" x14ac:dyDescent="0.25">
      <c r="A30" s="8" t="s">
        <v>88</v>
      </c>
      <c r="B30" s="8" t="s">
        <v>89</v>
      </c>
      <c r="C30" s="8" t="s">
        <v>52</v>
      </c>
      <c r="D30" s="8" t="s">
        <v>53</v>
      </c>
      <c r="E30" s="8"/>
      <c r="F30" s="8"/>
      <c r="G30" s="8" t="s">
        <v>90</v>
      </c>
    </row>
    <row r="31" spans="1:7" ht="18" customHeight="1" x14ac:dyDescent="0.25">
      <c r="A31" s="6" t="s">
        <v>88</v>
      </c>
      <c r="B31" s="6" t="s">
        <v>91</v>
      </c>
      <c r="C31" s="6" t="s">
        <v>52</v>
      </c>
      <c r="D31" s="6" t="s">
        <v>53</v>
      </c>
      <c r="E31" s="6"/>
      <c r="F31" s="6"/>
      <c r="G31" s="6" t="s">
        <v>92</v>
      </c>
    </row>
    <row r="32" spans="1:7" ht="18" customHeight="1" x14ac:dyDescent="0.25">
      <c r="A32" s="8" t="s">
        <v>88</v>
      </c>
      <c r="B32" s="8" t="s">
        <v>93</v>
      </c>
      <c r="C32" s="8" t="s">
        <v>52</v>
      </c>
      <c r="D32" s="8" t="s">
        <v>53</v>
      </c>
      <c r="E32" s="8"/>
      <c r="F32" s="8"/>
      <c r="G32" s="8" t="s">
        <v>92</v>
      </c>
    </row>
    <row r="33" spans="1:7" ht="18" customHeight="1" x14ac:dyDescent="0.25">
      <c r="A33" s="6" t="s">
        <v>88</v>
      </c>
      <c r="B33" s="6" t="s">
        <v>94</v>
      </c>
      <c r="C33" s="6" t="s">
        <v>52</v>
      </c>
      <c r="D33" s="6" t="s">
        <v>53</v>
      </c>
      <c r="E33" s="6"/>
      <c r="F33" s="6"/>
      <c r="G33" s="6" t="s">
        <v>90</v>
      </c>
    </row>
    <row r="34" spans="1:7" ht="18" customHeight="1" x14ac:dyDescent="0.25">
      <c r="A34" s="8" t="s">
        <v>88</v>
      </c>
      <c r="B34" s="8" t="s">
        <v>95</v>
      </c>
      <c r="C34" s="8" t="s">
        <v>52</v>
      </c>
      <c r="D34" s="8" t="s">
        <v>53</v>
      </c>
      <c r="E34" s="8"/>
      <c r="F34" s="8"/>
      <c r="G34" s="8" t="s">
        <v>92</v>
      </c>
    </row>
    <row r="35" spans="1:7" ht="18" customHeight="1" x14ac:dyDescent="0.25">
      <c r="A35" s="6" t="s">
        <v>88</v>
      </c>
      <c r="B35" s="6" t="s">
        <v>96</v>
      </c>
      <c r="C35" s="6" t="s">
        <v>52</v>
      </c>
      <c r="D35" s="6" t="s">
        <v>53</v>
      </c>
      <c r="E35" s="6"/>
      <c r="F35" s="6"/>
      <c r="G35" s="6" t="s">
        <v>97</v>
      </c>
    </row>
    <row r="36" spans="1:7" ht="18" customHeight="1" x14ac:dyDescent="0.25">
      <c r="A36" s="8" t="s">
        <v>98</v>
      </c>
      <c r="B36" s="8" t="s">
        <v>99</v>
      </c>
      <c r="C36" s="8" t="s">
        <v>52</v>
      </c>
      <c r="D36" s="8" t="s">
        <v>53</v>
      </c>
      <c r="E36" s="8"/>
      <c r="F36" s="8"/>
      <c r="G36" s="8" t="s">
        <v>97</v>
      </c>
    </row>
    <row r="37" spans="1:7" ht="18" customHeight="1" x14ac:dyDescent="0.25">
      <c r="A37" s="6" t="s">
        <v>98</v>
      </c>
      <c r="B37" s="6" t="s">
        <v>100</v>
      </c>
      <c r="C37" s="6" t="s">
        <v>52</v>
      </c>
      <c r="D37" s="6" t="s">
        <v>53</v>
      </c>
      <c r="E37" s="6"/>
      <c r="F37" s="6"/>
      <c r="G37" s="6" t="s">
        <v>97</v>
      </c>
    </row>
    <row r="38" spans="1:7" ht="18" customHeight="1" x14ac:dyDescent="0.25">
      <c r="A38" s="8" t="s">
        <v>98</v>
      </c>
      <c r="B38" s="8" t="s">
        <v>101</v>
      </c>
      <c r="C38" s="8" t="s">
        <v>52</v>
      </c>
      <c r="D38" s="8" t="s">
        <v>53</v>
      </c>
      <c r="E38" s="8"/>
      <c r="F38" s="8"/>
      <c r="G38" s="8" t="s">
        <v>97</v>
      </c>
    </row>
    <row r="39" spans="1:7" ht="18" customHeight="1" x14ac:dyDescent="0.25">
      <c r="A39" s="6" t="s">
        <v>102</v>
      </c>
      <c r="B39" s="6" t="s">
        <v>103</v>
      </c>
      <c r="C39" s="6" t="s">
        <v>104</v>
      </c>
      <c r="D39" s="6" t="s">
        <v>53</v>
      </c>
      <c r="E39" s="6"/>
      <c r="F39" s="6"/>
      <c r="G39" s="6" t="s">
        <v>105</v>
      </c>
    </row>
    <row r="40" spans="1:7" ht="18" customHeight="1" x14ac:dyDescent="0.25">
      <c r="A40" s="8" t="s">
        <v>102</v>
      </c>
      <c r="B40" s="8" t="s">
        <v>106</v>
      </c>
      <c r="C40" s="8" t="s">
        <v>104</v>
      </c>
      <c r="D40" s="8" t="s">
        <v>53</v>
      </c>
      <c r="E40" s="8"/>
      <c r="F40" s="8"/>
      <c r="G40" s="8" t="s">
        <v>105</v>
      </c>
    </row>
    <row r="41" spans="1:7" ht="18" customHeight="1" x14ac:dyDescent="0.25">
      <c r="A41" s="6" t="s">
        <v>102</v>
      </c>
      <c r="B41" s="6" t="s">
        <v>107</v>
      </c>
      <c r="C41" s="6" t="s">
        <v>104</v>
      </c>
      <c r="D41" s="6" t="s">
        <v>53</v>
      </c>
      <c r="E41" s="6"/>
      <c r="F41" s="6"/>
      <c r="G41" s="6" t="s">
        <v>105</v>
      </c>
    </row>
    <row r="42" spans="1:7" ht="18" customHeight="1" x14ac:dyDescent="0.25">
      <c r="A42" s="8" t="s">
        <v>102</v>
      </c>
      <c r="B42" s="8" t="s">
        <v>108</v>
      </c>
      <c r="C42" s="8" t="s">
        <v>104</v>
      </c>
      <c r="D42" s="8" t="s">
        <v>53</v>
      </c>
      <c r="E42" s="8"/>
      <c r="F42" s="8"/>
      <c r="G42" s="8" t="s">
        <v>105</v>
      </c>
    </row>
    <row r="43" spans="1:7" ht="18" customHeight="1" x14ac:dyDescent="0.25">
      <c r="A43" s="6" t="s">
        <v>102</v>
      </c>
      <c r="B43" s="6" t="s">
        <v>109</v>
      </c>
      <c r="C43" s="6" t="s">
        <v>104</v>
      </c>
      <c r="D43" s="6" t="s">
        <v>53</v>
      </c>
      <c r="E43" s="6"/>
      <c r="F43" s="6"/>
      <c r="G43" s="6" t="s">
        <v>105</v>
      </c>
    </row>
    <row r="44" spans="1:7" ht="18" customHeight="1" x14ac:dyDescent="0.25">
      <c r="A44" s="8" t="s">
        <v>102</v>
      </c>
      <c r="B44" s="8" t="s">
        <v>110</v>
      </c>
      <c r="C44" s="8" t="s">
        <v>52</v>
      </c>
      <c r="D44" s="8" t="s">
        <v>53</v>
      </c>
      <c r="E44" s="8"/>
      <c r="F44" s="8"/>
      <c r="G44" s="8" t="s">
        <v>105</v>
      </c>
    </row>
    <row r="45" spans="1:7" ht="18" customHeight="1" x14ac:dyDescent="0.25">
      <c r="A45" s="6" t="s">
        <v>111</v>
      </c>
      <c r="B45" s="6" t="s">
        <v>112</v>
      </c>
      <c r="C45" s="6" t="s">
        <v>52</v>
      </c>
      <c r="D45" s="6" t="s">
        <v>53</v>
      </c>
      <c r="E45" s="6"/>
      <c r="F45" s="6"/>
      <c r="G45" s="6" t="s">
        <v>113</v>
      </c>
    </row>
    <row r="46" spans="1:7" ht="18" customHeight="1" x14ac:dyDescent="0.25">
      <c r="A46" s="8" t="s">
        <v>111</v>
      </c>
      <c r="B46" s="8" t="s">
        <v>114</v>
      </c>
      <c r="C46" s="8" t="s">
        <v>52</v>
      </c>
      <c r="D46" s="8" t="s">
        <v>53</v>
      </c>
      <c r="E46" s="8"/>
      <c r="F46" s="8"/>
      <c r="G46" s="8" t="s">
        <v>76</v>
      </c>
    </row>
    <row r="47" spans="1:7" ht="18" customHeight="1" x14ac:dyDescent="0.25">
      <c r="A47" s="6" t="s">
        <v>111</v>
      </c>
      <c r="B47" s="6" t="s">
        <v>115</v>
      </c>
      <c r="C47" s="6" t="s">
        <v>52</v>
      </c>
      <c r="D47" s="6" t="s">
        <v>53</v>
      </c>
      <c r="E47" s="6"/>
      <c r="F47" s="6"/>
      <c r="G47" s="6" t="s">
        <v>113</v>
      </c>
    </row>
    <row r="48" spans="1:7" ht="18" customHeight="1" x14ac:dyDescent="0.25">
      <c r="A48" s="8" t="s">
        <v>111</v>
      </c>
      <c r="B48" s="8" t="s">
        <v>116</v>
      </c>
      <c r="C48" s="8" t="s">
        <v>52</v>
      </c>
      <c r="D48" s="8" t="s">
        <v>53</v>
      </c>
      <c r="E48" s="8"/>
      <c r="F48" s="8"/>
      <c r="G48" s="8" t="s">
        <v>113</v>
      </c>
    </row>
  </sheetData>
  <mergeCells count="1">
    <mergeCell ref="A1:G1"/>
  </mergeCells>
  <dataValidations count="1">
    <dataValidation type="list" allowBlank="1" sqref="D4:D48" xr:uid="{00000000-0002-0000-0100-000000000000}">
      <formula1>"Not started,In progress,Complete,N/A,Blocked"</formula1>
      <formula2>0</formula2>
    </dataValidation>
  </dataValidations>
  <pageMargins left="0.75" right="0.75" top="1" bottom="1" header="0.511811023622047" footer="0.511811023622047"/>
  <pageSetup paperSize="9" scale="52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1"/>
  <sheetViews>
    <sheetView showGridLines="0" view="pageBreakPreview" zoomScaleNormal="100" zoomScaleSheetLayoutView="100" workbookViewId="0">
      <pane ySplit="3" topLeftCell="A7" activePane="bottomLeft" state="frozen"/>
      <selection sqref="A1:F23"/>
      <selection pane="bottomLeft" sqref="A1:F1"/>
    </sheetView>
  </sheetViews>
  <sheetFormatPr defaultColWidth="8.7109375" defaultRowHeight="15" x14ac:dyDescent="0.25"/>
  <cols>
    <col min="1" max="1" width="22" customWidth="1"/>
    <col min="2" max="2" width="50.42578125" customWidth="1"/>
    <col min="3" max="3" width="14" customWidth="1"/>
    <col min="4" max="4" width="16" customWidth="1"/>
    <col min="5" max="5" width="13" customWidth="1"/>
    <col min="6" max="6" width="30" customWidth="1"/>
  </cols>
  <sheetData>
    <row r="1" spans="1:6" ht="30" customHeight="1" x14ac:dyDescent="0.25">
      <c r="A1" s="4" t="s">
        <v>117</v>
      </c>
      <c r="B1" s="4"/>
      <c r="C1" s="4"/>
      <c r="D1" s="4"/>
      <c r="E1" s="4"/>
      <c r="F1" s="4"/>
    </row>
    <row r="3" spans="1:6" ht="30" customHeight="1" x14ac:dyDescent="0.25">
      <c r="A3" s="7" t="s">
        <v>118</v>
      </c>
      <c r="B3" s="7" t="s">
        <v>119</v>
      </c>
      <c r="C3" s="7" t="s">
        <v>120</v>
      </c>
      <c r="D3" s="7" t="s">
        <v>121</v>
      </c>
      <c r="E3" s="7" t="s">
        <v>122</v>
      </c>
      <c r="F3" s="7" t="s">
        <v>123</v>
      </c>
    </row>
    <row r="4" spans="1:6" ht="18" customHeight="1" x14ac:dyDescent="0.25">
      <c r="A4" s="8" t="s">
        <v>124</v>
      </c>
      <c r="B4" s="8" t="s">
        <v>125</v>
      </c>
      <c r="C4" s="8" t="s">
        <v>126</v>
      </c>
      <c r="D4" s="8" t="s">
        <v>126</v>
      </c>
      <c r="E4" s="8"/>
      <c r="F4" s="8"/>
    </row>
    <row r="5" spans="1:6" ht="18" customHeight="1" x14ac:dyDescent="0.25">
      <c r="A5" s="6" t="s">
        <v>124</v>
      </c>
      <c r="B5" s="6" t="s">
        <v>127</v>
      </c>
      <c r="C5" s="6" t="s">
        <v>126</v>
      </c>
      <c r="D5" s="6" t="s">
        <v>126</v>
      </c>
      <c r="E5" s="6"/>
      <c r="F5" s="6"/>
    </row>
    <row r="6" spans="1:6" ht="18" customHeight="1" x14ac:dyDescent="0.25">
      <c r="A6" s="8" t="s">
        <v>128</v>
      </c>
      <c r="B6" s="8" t="s">
        <v>129</v>
      </c>
      <c r="C6" s="8" t="s">
        <v>126</v>
      </c>
      <c r="D6" s="8" t="s">
        <v>126</v>
      </c>
      <c r="E6" s="8"/>
      <c r="F6" s="8"/>
    </row>
    <row r="7" spans="1:6" ht="18" customHeight="1" x14ac:dyDescent="0.25">
      <c r="A7" s="6" t="s">
        <v>128</v>
      </c>
      <c r="B7" s="6" t="s">
        <v>130</v>
      </c>
      <c r="C7" s="6" t="s">
        <v>126</v>
      </c>
      <c r="D7" s="6" t="s">
        <v>126</v>
      </c>
      <c r="E7" s="6"/>
      <c r="F7" s="6"/>
    </row>
    <row r="8" spans="1:6" ht="18" customHeight="1" x14ac:dyDescent="0.25">
      <c r="A8" s="8" t="s">
        <v>128</v>
      </c>
      <c r="B8" s="8" t="s">
        <v>131</v>
      </c>
      <c r="C8" s="8" t="s">
        <v>126</v>
      </c>
      <c r="D8" s="8" t="s">
        <v>126</v>
      </c>
      <c r="E8" s="8"/>
      <c r="F8" s="8"/>
    </row>
    <row r="9" spans="1:6" ht="18" customHeight="1" x14ac:dyDescent="0.25">
      <c r="A9" s="6" t="s">
        <v>128</v>
      </c>
      <c r="B9" s="6" t="s">
        <v>132</v>
      </c>
      <c r="C9" s="6" t="s">
        <v>126</v>
      </c>
      <c r="D9" s="6" t="s">
        <v>126</v>
      </c>
      <c r="E9" s="6"/>
      <c r="F9" s="6"/>
    </row>
    <row r="10" spans="1:6" ht="18" customHeight="1" x14ac:dyDescent="0.25">
      <c r="A10" s="8" t="s">
        <v>133</v>
      </c>
      <c r="B10" s="8" t="s">
        <v>134</v>
      </c>
      <c r="C10" s="8" t="s">
        <v>126</v>
      </c>
      <c r="D10" s="8" t="s">
        <v>126</v>
      </c>
      <c r="E10" s="8"/>
      <c r="F10" s="8"/>
    </row>
    <row r="11" spans="1:6" ht="18" customHeight="1" x14ac:dyDescent="0.25">
      <c r="A11" s="6" t="s">
        <v>133</v>
      </c>
      <c r="B11" s="6" t="s">
        <v>135</v>
      </c>
      <c r="C11" s="6" t="s">
        <v>126</v>
      </c>
      <c r="D11" s="6" t="s">
        <v>126</v>
      </c>
      <c r="E11" s="6"/>
      <c r="F11" s="6"/>
    </row>
    <row r="12" spans="1:6" ht="18" customHeight="1" x14ac:dyDescent="0.25">
      <c r="A12" s="8" t="s">
        <v>136</v>
      </c>
      <c r="B12" s="8" t="s">
        <v>137</v>
      </c>
      <c r="C12" s="8" t="s">
        <v>126</v>
      </c>
      <c r="D12" s="8" t="s">
        <v>126</v>
      </c>
      <c r="E12" s="8"/>
      <c r="F12" s="8"/>
    </row>
    <row r="13" spans="1:6" ht="18" customHeight="1" x14ac:dyDescent="0.25">
      <c r="A13" s="6" t="s">
        <v>136</v>
      </c>
      <c r="B13" s="6" t="s">
        <v>138</v>
      </c>
      <c r="C13" s="6" t="s">
        <v>126</v>
      </c>
      <c r="D13" s="6" t="s">
        <v>126</v>
      </c>
      <c r="E13" s="6"/>
      <c r="F13" s="6"/>
    </row>
    <row r="14" spans="1:6" ht="18" customHeight="1" x14ac:dyDescent="0.25">
      <c r="A14" s="8" t="s">
        <v>136</v>
      </c>
      <c r="B14" s="8" t="s">
        <v>139</v>
      </c>
      <c r="C14" s="8" t="s">
        <v>126</v>
      </c>
      <c r="D14" s="8" t="s">
        <v>126</v>
      </c>
      <c r="E14" s="8"/>
      <c r="F14" s="8"/>
    </row>
    <row r="15" spans="1:6" ht="18" customHeight="1" x14ac:dyDescent="0.25">
      <c r="A15" s="6" t="s">
        <v>136</v>
      </c>
      <c r="B15" s="6" t="s">
        <v>140</v>
      </c>
      <c r="C15" s="6" t="s">
        <v>126</v>
      </c>
      <c r="D15" s="6" t="s">
        <v>126</v>
      </c>
      <c r="E15" s="6"/>
      <c r="F15" s="6"/>
    </row>
    <row r="16" spans="1:6" ht="18" customHeight="1" x14ac:dyDescent="0.25">
      <c r="A16" s="8" t="s">
        <v>141</v>
      </c>
      <c r="B16" s="8" t="s">
        <v>142</v>
      </c>
      <c r="C16" s="8" t="s">
        <v>126</v>
      </c>
      <c r="D16" s="8" t="s">
        <v>126</v>
      </c>
      <c r="E16" s="8"/>
      <c r="F16" s="8"/>
    </row>
    <row r="17" spans="1:6" ht="18" customHeight="1" x14ac:dyDescent="0.25">
      <c r="A17" s="6" t="s">
        <v>141</v>
      </c>
      <c r="B17" s="6" t="s">
        <v>143</v>
      </c>
      <c r="C17" s="6" t="s">
        <v>126</v>
      </c>
      <c r="D17" s="6" t="s">
        <v>126</v>
      </c>
      <c r="E17" s="6"/>
      <c r="F17" s="6"/>
    </row>
    <row r="18" spans="1:6" ht="18" customHeight="1" x14ac:dyDescent="0.25">
      <c r="A18" s="8" t="s">
        <v>141</v>
      </c>
      <c r="B18" s="8" t="s">
        <v>144</v>
      </c>
      <c r="C18" s="8" t="s">
        <v>126</v>
      </c>
      <c r="D18" s="8" t="s">
        <v>126</v>
      </c>
      <c r="E18" s="8"/>
      <c r="F18" s="8"/>
    </row>
    <row r="19" spans="1:6" ht="18" customHeight="1" x14ac:dyDescent="0.25">
      <c r="A19" s="6" t="s">
        <v>145</v>
      </c>
      <c r="B19" s="6" t="s">
        <v>146</v>
      </c>
      <c r="C19" s="6" t="s">
        <v>126</v>
      </c>
      <c r="D19" s="6" t="s">
        <v>126</v>
      </c>
      <c r="E19" s="6"/>
      <c r="F19" s="6"/>
    </row>
    <row r="20" spans="1:6" ht="18" customHeight="1" x14ac:dyDescent="0.25">
      <c r="A20" s="8" t="s">
        <v>147</v>
      </c>
      <c r="B20" s="8" t="s">
        <v>148</v>
      </c>
      <c r="C20" s="8" t="s">
        <v>126</v>
      </c>
      <c r="D20" s="8" t="s">
        <v>126</v>
      </c>
      <c r="E20" s="8"/>
      <c r="F20" s="8"/>
    </row>
    <row r="21" spans="1:6" ht="18" customHeight="1" x14ac:dyDescent="0.25">
      <c r="A21" s="6" t="s">
        <v>147</v>
      </c>
      <c r="B21" s="6" t="s">
        <v>149</v>
      </c>
      <c r="C21" s="6" t="s">
        <v>126</v>
      </c>
      <c r="D21" s="6" t="s">
        <v>126</v>
      </c>
      <c r="E21" s="6"/>
      <c r="F21" s="6"/>
    </row>
  </sheetData>
  <mergeCells count="1">
    <mergeCell ref="A1:F1"/>
  </mergeCells>
  <dataValidations count="1">
    <dataValidation type="list" allowBlank="1" sqref="C4:D21" xr:uid="{00000000-0002-0000-0200-000000000000}">
      <formula1>"Yes,No,N/A"</formula1>
      <formula2>0</formula2>
    </dataValidation>
  </dataValidations>
  <pageMargins left="0.75" right="0.75" top="1" bottom="1" header="0.511811023622047" footer="0.511811023622047"/>
  <pageSetup paperSize="9" scale="5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3"/>
  <sheetViews>
    <sheetView showGridLines="0" view="pageBreakPreview" zoomScaleNormal="100" zoomScaleSheetLayoutView="100" workbookViewId="0">
      <pane ySplit="3" topLeftCell="A4" activePane="bottomLeft" state="frozen"/>
      <selection sqref="A1:F23"/>
      <selection pane="bottomLeft" sqref="A1:O1"/>
    </sheetView>
  </sheetViews>
  <sheetFormatPr defaultColWidth="8.7109375" defaultRowHeight="15" x14ac:dyDescent="0.25"/>
  <cols>
    <col min="1" max="2" width="22" customWidth="1"/>
    <col min="3" max="3" width="26" customWidth="1"/>
    <col min="4" max="4" width="13" customWidth="1"/>
    <col min="5" max="5" width="12" customWidth="1"/>
    <col min="6" max="7" width="13" customWidth="1"/>
    <col min="8" max="8" width="11" customWidth="1"/>
    <col min="9" max="9" width="13" customWidth="1"/>
    <col min="10" max="10" width="12" customWidth="1"/>
    <col min="11" max="11" width="13" customWidth="1"/>
    <col min="12" max="14" width="11" customWidth="1"/>
    <col min="15" max="15" width="30" customWidth="1"/>
  </cols>
  <sheetData>
    <row r="1" spans="1:15" ht="30" customHeight="1" x14ac:dyDescent="0.25">
      <c r="A1" s="4" t="s">
        <v>150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3" spans="1:15" ht="30" customHeight="1" x14ac:dyDescent="0.25">
      <c r="A3" s="7" t="s">
        <v>151</v>
      </c>
      <c r="B3" s="7" t="s">
        <v>152</v>
      </c>
      <c r="C3" s="7" t="s">
        <v>153</v>
      </c>
      <c r="D3" s="7" t="s">
        <v>154</v>
      </c>
      <c r="E3" s="7" t="s">
        <v>155</v>
      </c>
      <c r="F3" s="7" t="s">
        <v>156</v>
      </c>
      <c r="G3" s="7" t="s">
        <v>157</v>
      </c>
      <c r="H3" s="7" t="s">
        <v>158</v>
      </c>
      <c r="I3" s="7" t="s">
        <v>159</v>
      </c>
      <c r="J3" s="7" t="s">
        <v>160</v>
      </c>
      <c r="K3" s="7" t="s">
        <v>161</v>
      </c>
      <c r="L3" s="7" t="s">
        <v>162</v>
      </c>
      <c r="M3" s="7" t="s">
        <v>163</v>
      </c>
      <c r="N3" s="7" t="s">
        <v>164</v>
      </c>
      <c r="O3" s="7" t="s">
        <v>123</v>
      </c>
    </row>
    <row r="4" spans="1:1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</sheetData>
  <mergeCells count="1">
    <mergeCell ref="A1:O1"/>
  </mergeCells>
  <dataValidations count="4">
    <dataValidation type="list" allowBlank="1" sqref="E4:E203" xr:uid="{00000000-0002-0000-0300-000000000000}">
      <formula1>"Not sent,Sent,Signed"</formula1>
      <formula2>0</formula2>
    </dataValidation>
    <dataValidation type="list" allowBlank="1" sqref="J4:J203" xr:uid="{00000000-0002-0000-0300-000001000000}">
      <formula1>"Pending,Clear,Flagged"</formula1>
      <formula2>0</formula2>
    </dataValidation>
    <dataValidation type="list" allowBlank="1" sqref="K4:K203" xr:uid="{00000000-0002-0000-0300-000002000000}">
      <formula1>"Pending,Verified,Insufficient"</formula1>
      <formula2>0</formula2>
    </dataValidation>
    <dataValidation type="list" allowBlank="1" sqref="L4:N203" xr:uid="{00000000-0002-0000-0300-000003000000}">
      <formula1>"None,Requested,Received,Declined"</formula1>
      <formula2>0</formula2>
    </dataValidation>
  </dataValidations>
  <pageMargins left="0.75" right="0.75" top="1" bottom="1" header="0.511811023622047" footer="0.511811023622047"/>
  <pageSetup paperSize="9" scale="5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4"/>
  <sheetViews>
    <sheetView showGridLines="0" view="pageBreakPreview" zoomScaleNormal="100" zoomScaleSheetLayoutView="100" workbookViewId="0">
      <pane ySplit="3" topLeftCell="A4" activePane="bottomLeft" state="frozen"/>
      <selection sqref="A1:F23"/>
      <selection pane="bottomLeft" sqref="A1:O1"/>
    </sheetView>
  </sheetViews>
  <sheetFormatPr defaultColWidth="8.7109375" defaultRowHeight="15" x14ac:dyDescent="0.25"/>
  <cols>
    <col min="1" max="1" width="24" customWidth="1"/>
    <col min="2" max="7" width="15" customWidth="1"/>
    <col min="8" max="10" width="9" customWidth="1"/>
    <col min="11" max="11" width="18" customWidth="1"/>
    <col min="12" max="12" width="30" customWidth="1"/>
    <col min="13" max="13" width="16" customWidth="1"/>
    <col min="14" max="14" width="18" customWidth="1"/>
    <col min="15" max="15" width="26" customWidth="1"/>
  </cols>
  <sheetData>
    <row r="1" spans="1:15" ht="30" customHeight="1" x14ac:dyDescent="0.25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9.5" customHeight="1" x14ac:dyDescent="0.25">
      <c r="A2" s="1" t="s">
        <v>166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30" customHeight="1" x14ac:dyDescent="0.25">
      <c r="A3" s="7" t="s">
        <v>167</v>
      </c>
      <c r="B3" s="7" t="s">
        <v>168</v>
      </c>
      <c r="C3" s="7" t="s">
        <v>169</v>
      </c>
      <c r="D3" s="7" t="s">
        <v>170</v>
      </c>
      <c r="E3" s="7" t="s">
        <v>171</v>
      </c>
      <c r="F3" s="7" t="s">
        <v>172</v>
      </c>
      <c r="G3" s="7" t="s">
        <v>173</v>
      </c>
      <c r="H3" s="7" t="s">
        <v>174</v>
      </c>
      <c r="I3" s="7" t="s">
        <v>175</v>
      </c>
      <c r="J3" s="7" t="s">
        <v>176</v>
      </c>
      <c r="K3" s="7" t="s">
        <v>177</v>
      </c>
      <c r="L3" s="7" t="s">
        <v>178</v>
      </c>
      <c r="M3" s="7" t="s">
        <v>179</v>
      </c>
      <c r="N3" s="7" t="s">
        <v>180</v>
      </c>
      <c r="O3" s="7" t="s">
        <v>123</v>
      </c>
    </row>
    <row r="4" spans="1:15" x14ac:dyDescent="0.25">
      <c r="A4" s="8"/>
      <c r="B4" s="9"/>
      <c r="C4" s="9"/>
      <c r="D4" s="9"/>
      <c r="E4" s="9" t="str">
        <f t="shared" ref="E4:F11" si="0">IF(AND(B4&lt;&gt;"",C4&lt;&gt;""),C4-B4,"")</f>
        <v/>
      </c>
      <c r="F4" s="9" t="str">
        <f t="shared" si="0"/>
        <v/>
      </c>
      <c r="G4" s="9" t="str">
        <f t="shared" ref="G4:G11" si="1">IF(D4&lt;&gt;"",D4,IF(C4&lt;&gt;"",C4,IF(B4&lt;&gt;"",B4,"")))</f>
        <v/>
      </c>
      <c r="H4" s="10"/>
      <c r="I4" s="10"/>
      <c r="J4" s="10"/>
      <c r="K4" s="8"/>
      <c r="L4" s="8"/>
      <c r="M4" s="8"/>
      <c r="N4" s="8"/>
      <c r="O4" s="8"/>
    </row>
    <row r="5" spans="1:15" x14ac:dyDescent="0.25">
      <c r="A5" s="6"/>
      <c r="B5" s="11"/>
      <c r="C5" s="11"/>
      <c r="D5" s="11"/>
      <c r="E5" s="11" t="str">
        <f t="shared" si="0"/>
        <v/>
      </c>
      <c r="F5" s="11" t="str">
        <f t="shared" si="0"/>
        <v/>
      </c>
      <c r="G5" s="11" t="str">
        <f t="shared" si="1"/>
        <v/>
      </c>
      <c r="H5" s="12"/>
      <c r="I5" s="12"/>
      <c r="J5" s="12"/>
      <c r="K5" s="6"/>
      <c r="L5" s="6"/>
      <c r="M5" s="6"/>
      <c r="N5" s="6"/>
      <c r="O5" s="6"/>
    </row>
    <row r="6" spans="1:15" x14ac:dyDescent="0.25">
      <c r="A6" s="8"/>
      <c r="B6" s="9"/>
      <c r="C6" s="9"/>
      <c r="D6" s="9"/>
      <c r="E6" s="9" t="str">
        <f t="shared" si="0"/>
        <v/>
      </c>
      <c r="F6" s="9" t="str">
        <f t="shared" si="0"/>
        <v/>
      </c>
      <c r="G6" s="9" t="str">
        <f t="shared" si="1"/>
        <v/>
      </c>
      <c r="H6" s="10"/>
      <c r="I6" s="10"/>
      <c r="J6" s="10"/>
      <c r="K6" s="8"/>
      <c r="L6" s="8"/>
      <c r="M6" s="8"/>
      <c r="N6" s="8"/>
      <c r="O6" s="8"/>
    </row>
    <row r="7" spans="1:15" x14ac:dyDescent="0.25">
      <c r="A7" s="6"/>
      <c r="B7" s="11"/>
      <c r="C7" s="11"/>
      <c r="D7" s="11"/>
      <c r="E7" s="11" t="str">
        <f t="shared" si="0"/>
        <v/>
      </c>
      <c r="F7" s="11" t="str">
        <f t="shared" si="0"/>
        <v/>
      </c>
      <c r="G7" s="11" t="str">
        <f t="shared" si="1"/>
        <v/>
      </c>
      <c r="H7" s="12"/>
      <c r="I7" s="12"/>
      <c r="J7" s="12"/>
      <c r="K7" s="6"/>
      <c r="L7" s="6"/>
      <c r="M7" s="6"/>
      <c r="N7" s="6"/>
      <c r="O7" s="6"/>
    </row>
    <row r="8" spans="1:15" x14ac:dyDescent="0.25">
      <c r="A8" s="8"/>
      <c r="B8" s="9"/>
      <c r="C8" s="9"/>
      <c r="D8" s="9"/>
      <c r="E8" s="9" t="str">
        <f t="shared" si="0"/>
        <v/>
      </c>
      <c r="F8" s="9" t="str">
        <f t="shared" si="0"/>
        <v/>
      </c>
      <c r="G8" s="9" t="str">
        <f t="shared" si="1"/>
        <v/>
      </c>
      <c r="H8" s="10"/>
      <c r="I8" s="10"/>
      <c r="J8" s="10"/>
      <c r="K8" s="8"/>
      <c r="L8" s="8"/>
      <c r="M8" s="8"/>
      <c r="N8" s="8"/>
      <c r="O8" s="8"/>
    </row>
    <row r="9" spans="1:15" x14ac:dyDescent="0.25">
      <c r="A9" s="6"/>
      <c r="B9" s="11"/>
      <c r="C9" s="11"/>
      <c r="D9" s="11"/>
      <c r="E9" s="11" t="str">
        <f t="shared" si="0"/>
        <v/>
      </c>
      <c r="F9" s="11" t="str">
        <f t="shared" si="0"/>
        <v/>
      </c>
      <c r="G9" s="11" t="str">
        <f t="shared" si="1"/>
        <v/>
      </c>
      <c r="H9" s="12"/>
      <c r="I9" s="12"/>
      <c r="J9" s="12"/>
      <c r="K9" s="6"/>
      <c r="L9" s="6"/>
      <c r="M9" s="6"/>
      <c r="N9" s="6"/>
      <c r="O9" s="6"/>
    </row>
    <row r="10" spans="1:15" x14ac:dyDescent="0.25">
      <c r="A10" s="8"/>
      <c r="B10" s="9"/>
      <c r="C10" s="9"/>
      <c r="D10" s="9"/>
      <c r="E10" s="9" t="str">
        <f t="shared" si="0"/>
        <v/>
      </c>
      <c r="F10" s="9" t="str">
        <f t="shared" si="0"/>
        <v/>
      </c>
      <c r="G10" s="9" t="str">
        <f t="shared" si="1"/>
        <v/>
      </c>
      <c r="H10" s="10"/>
      <c r="I10" s="10"/>
      <c r="J10" s="10"/>
      <c r="K10" s="8"/>
      <c r="L10" s="8"/>
      <c r="M10" s="8"/>
      <c r="N10" s="8"/>
      <c r="O10" s="8"/>
    </row>
    <row r="11" spans="1:15" x14ac:dyDescent="0.25">
      <c r="A11" s="6"/>
      <c r="B11" s="11"/>
      <c r="C11" s="11"/>
      <c r="D11" s="11"/>
      <c r="E11" s="11" t="str">
        <f t="shared" si="0"/>
        <v/>
      </c>
      <c r="F11" s="11" t="str">
        <f t="shared" si="0"/>
        <v/>
      </c>
      <c r="G11" s="11" t="str">
        <f t="shared" si="1"/>
        <v/>
      </c>
      <c r="H11" s="12"/>
      <c r="I11" s="12"/>
      <c r="J11" s="12"/>
      <c r="K11" s="6"/>
      <c r="L11" s="6"/>
      <c r="M11" s="6"/>
      <c r="N11" s="6"/>
      <c r="O11" s="6"/>
    </row>
    <row r="13" spans="1:15" x14ac:dyDescent="0.25">
      <c r="A13" s="2" t="s">
        <v>181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 t="s">
        <v>182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</sheetData>
  <mergeCells count="4">
    <mergeCell ref="A1:O1"/>
    <mergeCell ref="A2:O2"/>
    <mergeCell ref="A13:O13"/>
    <mergeCell ref="A14:O14"/>
  </mergeCells>
  <pageMargins left="0.75" right="0.75" top="1" bottom="1" header="0.511811023622047" footer="0.511811023622047"/>
  <pageSetup paperSize="9" scale="5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0"/>
  <sheetViews>
    <sheetView showGridLines="0" view="pageBreakPreview" zoomScaleNormal="100" zoomScaleSheetLayoutView="100" workbookViewId="0">
      <pane ySplit="3" topLeftCell="A4" activePane="bottomLeft" state="frozen"/>
      <selection sqref="A1:F23"/>
      <selection pane="bottomLeft" sqref="A1:F1"/>
    </sheetView>
  </sheetViews>
  <sheetFormatPr defaultColWidth="8.7109375" defaultRowHeight="15" x14ac:dyDescent="0.25"/>
  <cols>
    <col min="1" max="1" width="42" customWidth="1"/>
    <col min="2" max="2" width="18" customWidth="1"/>
    <col min="3" max="3" width="16" customWidth="1"/>
    <col min="4" max="5" width="14" customWidth="1"/>
    <col min="6" max="6" width="30" customWidth="1"/>
  </cols>
  <sheetData>
    <row r="1" spans="1:6" ht="30" customHeight="1" x14ac:dyDescent="0.25">
      <c r="A1" s="4" t="s">
        <v>183</v>
      </c>
      <c r="B1" s="4"/>
      <c r="C1" s="4"/>
      <c r="D1" s="4"/>
      <c r="E1" s="4"/>
      <c r="F1" s="4"/>
    </row>
    <row r="3" spans="1:6" ht="30" customHeight="1" x14ac:dyDescent="0.25">
      <c r="A3" s="7" t="s">
        <v>184</v>
      </c>
      <c r="B3" s="7" t="s">
        <v>185</v>
      </c>
      <c r="C3" s="7" t="s">
        <v>46</v>
      </c>
      <c r="D3" s="7" t="s">
        <v>186</v>
      </c>
      <c r="E3" s="7" t="s">
        <v>187</v>
      </c>
      <c r="F3" s="7" t="s">
        <v>123</v>
      </c>
    </row>
    <row r="4" spans="1:6" x14ac:dyDescent="0.25">
      <c r="A4" s="8" t="s">
        <v>188</v>
      </c>
      <c r="B4" s="8"/>
      <c r="C4" s="8" t="s">
        <v>53</v>
      </c>
      <c r="D4" s="8"/>
      <c r="E4" s="8"/>
      <c r="F4" s="8"/>
    </row>
    <row r="5" spans="1:6" x14ac:dyDescent="0.25">
      <c r="A5" s="6" t="s">
        <v>189</v>
      </c>
      <c r="B5" s="6"/>
      <c r="C5" s="6" t="s">
        <v>53</v>
      </c>
      <c r="D5" s="6"/>
      <c r="E5" s="6"/>
      <c r="F5" s="6"/>
    </row>
    <row r="6" spans="1:6" x14ac:dyDescent="0.25">
      <c r="A6" s="8" t="s">
        <v>190</v>
      </c>
      <c r="B6" s="8"/>
      <c r="C6" s="8" t="s">
        <v>53</v>
      </c>
      <c r="D6" s="8"/>
      <c r="E6" s="8"/>
      <c r="F6" s="8"/>
    </row>
    <row r="7" spans="1:6" x14ac:dyDescent="0.25">
      <c r="A7" s="6" t="s">
        <v>191</v>
      </c>
      <c r="B7" s="6"/>
      <c r="C7" s="6" t="s">
        <v>53</v>
      </c>
      <c r="D7" s="6"/>
      <c r="E7" s="6"/>
      <c r="F7" s="6"/>
    </row>
    <row r="8" spans="1:6" x14ac:dyDescent="0.25">
      <c r="A8" s="8" t="s">
        <v>192</v>
      </c>
      <c r="B8" s="8"/>
      <c r="C8" s="8" t="s">
        <v>53</v>
      </c>
      <c r="D8" s="8"/>
      <c r="E8" s="8"/>
      <c r="F8" s="8"/>
    </row>
    <row r="9" spans="1:6" x14ac:dyDescent="0.25">
      <c r="A9" s="6" t="s">
        <v>193</v>
      </c>
      <c r="B9" s="6"/>
      <c r="C9" s="6" t="s">
        <v>53</v>
      </c>
      <c r="D9" s="6"/>
      <c r="E9" s="6"/>
      <c r="F9" s="6"/>
    </row>
    <row r="10" spans="1:6" x14ac:dyDescent="0.25">
      <c r="A10" s="8" t="s">
        <v>194</v>
      </c>
      <c r="B10" s="8"/>
      <c r="C10" s="8" t="s">
        <v>53</v>
      </c>
      <c r="D10" s="8"/>
      <c r="E10" s="8"/>
      <c r="F10" s="8"/>
    </row>
    <row r="11" spans="1:6" x14ac:dyDescent="0.25">
      <c r="A11" s="6" t="s">
        <v>195</v>
      </c>
      <c r="B11" s="6"/>
      <c r="C11" s="6" t="s">
        <v>53</v>
      </c>
      <c r="D11" s="6"/>
      <c r="E11" s="6"/>
      <c r="F11" s="6"/>
    </row>
    <row r="12" spans="1:6" x14ac:dyDescent="0.25">
      <c r="A12" s="8" t="s">
        <v>196</v>
      </c>
      <c r="B12" s="8"/>
      <c r="C12" s="8" t="s">
        <v>53</v>
      </c>
      <c r="D12" s="8"/>
      <c r="E12" s="8"/>
      <c r="F12" s="8"/>
    </row>
    <row r="13" spans="1:6" x14ac:dyDescent="0.25">
      <c r="A13" s="6" t="s">
        <v>197</v>
      </c>
      <c r="B13" s="6"/>
      <c r="C13" s="6" t="s">
        <v>53</v>
      </c>
      <c r="D13" s="6"/>
      <c r="E13" s="6"/>
      <c r="F13" s="6"/>
    </row>
    <row r="14" spans="1:6" x14ac:dyDescent="0.25">
      <c r="A14" s="8" t="s">
        <v>198</v>
      </c>
      <c r="B14" s="8"/>
      <c r="C14" s="8" t="s">
        <v>53</v>
      </c>
      <c r="D14" s="8"/>
      <c r="E14" s="8"/>
      <c r="F14" s="8"/>
    </row>
    <row r="15" spans="1:6" x14ac:dyDescent="0.25">
      <c r="A15" s="6" t="s">
        <v>199</v>
      </c>
      <c r="B15" s="6"/>
      <c r="C15" s="6" t="s">
        <v>53</v>
      </c>
      <c r="D15" s="6"/>
      <c r="E15" s="6"/>
      <c r="F15" s="6"/>
    </row>
    <row r="16" spans="1:6" x14ac:dyDescent="0.25">
      <c r="A16" s="8" t="s">
        <v>200</v>
      </c>
      <c r="B16" s="8"/>
      <c r="C16" s="8" t="s">
        <v>53</v>
      </c>
      <c r="D16" s="8"/>
      <c r="E16" s="8"/>
      <c r="F16" s="8"/>
    </row>
    <row r="17" spans="1:6" x14ac:dyDescent="0.25">
      <c r="A17" s="6" t="s">
        <v>201</v>
      </c>
      <c r="B17" s="6"/>
      <c r="C17" s="6" t="s">
        <v>53</v>
      </c>
      <c r="D17" s="6"/>
      <c r="E17" s="6"/>
      <c r="F17" s="6"/>
    </row>
    <row r="18" spans="1:6" x14ac:dyDescent="0.25">
      <c r="A18" s="8" t="s">
        <v>202</v>
      </c>
      <c r="B18" s="8"/>
      <c r="C18" s="8" t="s">
        <v>53</v>
      </c>
      <c r="D18" s="8"/>
      <c r="E18" s="8"/>
      <c r="F18" s="8"/>
    </row>
    <row r="19" spans="1:6" x14ac:dyDescent="0.25">
      <c r="A19" s="6" t="s">
        <v>203</v>
      </c>
      <c r="B19" s="6"/>
      <c r="C19" s="6" t="s">
        <v>53</v>
      </c>
      <c r="D19" s="6"/>
      <c r="E19" s="6"/>
      <c r="F19" s="6"/>
    </row>
    <row r="20" spans="1:6" x14ac:dyDescent="0.25">
      <c r="A20" s="8" t="s">
        <v>204</v>
      </c>
      <c r="B20" s="8"/>
      <c r="C20" s="8" t="s">
        <v>53</v>
      </c>
      <c r="D20" s="8"/>
      <c r="E20" s="8"/>
      <c r="F20" s="8"/>
    </row>
  </sheetData>
  <mergeCells count="1">
    <mergeCell ref="A1:F1"/>
  </mergeCells>
  <dataValidations count="1">
    <dataValidation type="list" allowBlank="1" sqref="C4:C20" xr:uid="{00000000-0002-0000-0500-000000000000}">
      <formula1>"Not started,In progress,Complete,N/A"</formula1>
      <formula2>0</formula2>
    </dataValidation>
  </dataValidations>
  <pageMargins left="0.75" right="0.75" top="1" bottom="1" header="0.511811023622047" footer="0.511811023622047"/>
  <pageSetup paperSize="9" scale="64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23"/>
  <sheetViews>
    <sheetView showGridLines="0" view="pageBreakPreview" zoomScaleNormal="100" zoomScaleSheetLayoutView="100" workbookViewId="0">
      <pane ySplit="3" topLeftCell="A4" activePane="bottomLeft" state="frozen"/>
      <selection sqref="A1:F23"/>
      <selection pane="bottomLeft" sqref="A1:F1"/>
    </sheetView>
  </sheetViews>
  <sheetFormatPr defaultColWidth="8.7109375" defaultRowHeight="15" x14ac:dyDescent="0.25"/>
  <cols>
    <col min="1" max="1" width="14" customWidth="1"/>
    <col min="2" max="2" width="22" customWidth="1"/>
    <col min="3" max="3" width="20" customWidth="1"/>
    <col min="4" max="4" width="24" customWidth="1"/>
    <col min="5" max="5" width="14" customWidth="1"/>
    <col min="6" max="6" width="34" customWidth="1"/>
  </cols>
  <sheetData>
    <row r="1" spans="1:6" ht="30" customHeight="1" x14ac:dyDescent="0.25">
      <c r="A1" s="4" t="s">
        <v>205</v>
      </c>
      <c r="B1" s="4"/>
      <c r="C1" s="4"/>
      <c r="D1" s="4"/>
      <c r="E1" s="4"/>
      <c r="F1" s="4"/>
    </row>
    <row r="3" spans="1:6" ht="30" customHeight="1" x14ac:dyDescent="0.25">
      <c r="A3" s="7" t="s">
        <v>122</v>
      </c>
      <c r="B3" s="7" t="s">
        <v>206</v>
      </c>
      <c r="C3" s="7" t="s">
        <v>207</v>
      </c>
      <c r="D3" s="7" t="s">
        <v>208</v>
      </c>
      <c r="E3" s="7" t="s">
        <v>209</v>
      </c>
      <c r="F3" s="7" t="s">
        <v>210</v>
      </c>
    </row>
    <row r="4" spans="1:6" x14ac:dyDescent="0.25">
      <c r="A4" s="8"/>
      <c r="B4" s="8"/>
      <c r="C4" s="8"/>
      <c r="D4" s="8"/>
      <c r="E4" s="8"/>
      <c r="F4" s="8"/>
    </row>
    <row r="5" spans="1:6" x14ac:dyDescent="0.25">
      <c r="A5" s="6"/>
      <c r="B5" s="6"/>
      <c r="C5" s="6"/>
      <c r="D5" s="6"/>
      <c r="E5" s="6"/>
      <c r="F5" s="6"/>
    </row>
    <row r="6" spans="1:6" x14ac:dyDescent="0.25">
      <c r="A6" s="8"/>
      <c r="B6" s="8"/>
      <c r="C6" s="8"/>
      <c r="D6" s="8"/>
      <c r="E6" s="8"/>
      <c r="F6" s="8"/>
    </row>
    <row r="7" spans="1:6" x14ac:dyDescent="0.25">
      <c r="A7" s="6"/>
      <c r="B7" s="6"/>
      <c r="C7" s="6"/>
      <c r="D7" s="6"/>
      <c r="E7" s="6"/>
      <c r="F7" s="6"/>
    </row>
    <row r="8" spans="1:6" x14ac:dyDescent="0.25">
      <c r="A8" s="8"/>
      <c r="B8" s="8"/>
      <c r="C8" s="8"/>
      <c r="D8" s="8"/>
      <c r="E8" s="8"/>
      <c r="F8" s="8"/>
    </row>
    <row r="9" spans="1:6" x14ac:dyDescent="0.25">
      <c r="A9" s="6"/>
      <c r="B9" s="6"/>
      <c r="C9" s="6"/>
      <c r="D9" s="6"/>
      <c r="E9" s="6"/>
      <c r="F9" s="6"/>
    </row>
    <row r="10" spans="1:6" x14ac:dyDescent="0.25">
      <c r="A10" s="8"/>
      <c r="B10" s="8"/>
      <c r="C10" s="8"/>
      <c r="D10" s="8"/>
      <c r="E10" s="8"/>
      <c r="F10" s="8"/>
    </row>
    <row r="11" spans="1:6" x14ac:dyDescent="0.25">
      <c r="A11" s="6"/>
      <c r="B11" s="6"/>
      <c r="C11" s="6"/>
      <c r="D11" s="6"/>
      <c r="E11" s="6"/>
      <c r="F11" s="6"/>
    </row>
    <row r="12" spans="1:6" x14ac:dyDescent="0.25">
      <c r="A12" s="8"/>
      <c r="B12" s="8"/>
      <c r="C12" s="8"/>
      <c r="D12" s="8"/>
      <c r="E12" s="8"/>
      <c r="F12" s="8"/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s="8"/>
      <c r="B14" s="8"/>
      <c r="C14" s="8"/>
      <c r="D14" s="8"/>
      <c r="E14" s="8"/>
      <c r="F14" s="8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8"/>
      <c r="B16" s="8"/>
      <c r="C16" s="8"/>
      <c r="D16" s="8"/>
      <c r="E16" s="8"/>
      <c r="F16" s="8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8"/>
      <c r="B18" s="8"/>
      <c r="C18" s="8"/>
      <c r="D18" s="8"/>
      <c r="E18" s="8"/>
      <c r="F18" s="8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8"/>
      <c r="B20" s="8"/>
      <c r="C20" s="8"/>
      <c r="D20" s="8"/>
      <c r="E20" s="8"/>
      <c r="F20" s="8"/>
    </row>
    <row r="21" spans="1:6" x14ac:dyDescent="0.25">
      <c r="A21" s="6"/>
      <c r="B21" s="6"/>
      <c r="C21" s="6"/>
      <c r="D21" s="6"/>
      <c r="E21" s="6"/>
      <c r="F21" s="6"/>
    </row>
    <row r="22" spans="1:6" x14ac:dyDescent="0.25">
      <c r="A22" s="8"/>
      <c r="B22" s="8"/>
      <c r="C22" s="8"/>
      <c r="D22" s="8"/>
      <c r="E22" s="8"/>
      <c r="F22" s="8"/>
    </row>
    <row r="23" spans="1:6" x14ac:dyDescent="0.25">
      <c r="A23" s="6"/>
      <c r="B23" s="6"/>
      <c r="C23" s="6"/>
      <c r="D23" s="6"/>
      <c r="E23" s="6"/>
      <c r="F23" s="6"/>
    </row>
  </sheetData>
  <mergeCells count="1">
    <mergeCell ref="A1:F1"/>
  </mergeCells>
  <dataValidations count="1">
    <dataValidation type="list" allowBlank="1" sqref="B4:B203" xr:uid="{00000000-0002-0000-0600-000000000000}">
      <formula1>"Weekly update,Bid report,Ad hoc,Closing report"</formula1>
      <formula2>0</formula2>
    </dataValidation>
  </dataValidations>
  <pageMargins left="0.75" right="0.75" top="1" bottom="1" header="0.511811023622047" footer="0.511811023622047"/>
  <pageSetup paperSize="9" scale="6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Mandate Summary</vt:lpstr>
      <vt:lpstr>Task Checklist</vt:lpstr>
      <vt:lpstr>Information &amp; Data Room</vt:lpstr>
      <vt:lpstr>Buyer Pipeline</vt:lpstr>
      <vt:lpstr>Bid Log</vt:lpstr>
      <vt:lpstr>Legal &amp; Completion</vt:lpstr>
      <vt:lpstr>Client Reporting</vt:lpstr>
      <vt:lpstr>'Bid Log'!Print_Area</vt:lpstr>
      <vt:lpstr>'Buyer Pipeline'!Print_Area</vt:lpstr>
      <vt:lpstr>'Client Reporting'!Print_Area</vt:lpstr>
      <vt:lpstr>'Information &amp; Data Room'!Print_Area</vt:lpstr>
      <vt:lpstr>'Legal &amp; Completion'!Print_Area</vt:lpstr>
      <vt:lpstr>'Mandate Summary'!Print_Area</vt:lpstr>
      <vt:lpstr>'Task Checklist'!Print_Area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Adam Moore</cp:lastModifiedBy>
  <cp:revision>0</cp:revision>
  <dcterms:created xsi:type="dcterms:W3CDTF">2026-06-07T18:29:45Z</dcterms:created>
  <dcterms:modified xsi:type="dcterms:W3CDTF">2026-06-08T20:48:06Z</dcterms:modified>
  <dc:language>en-US</dc:language>
</cp:coreProperties>
</file>