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ndate Summary" sheetId="1" state="visible" r:id="rId3"/>
    <sheet name="Task Checklist" sheetId="2" state="visible" r:id="rId4"/>
    <sheet name="Information &amp; Data Room" sheetId="3" state="visible" r:id="rId5"/>
    <sheet name="Buyer Pipeline" sheetId="4" state="visible" r:id="rId6"/>
    <sheet name="Bid Log" sheetId="5" state="visible" r:id="rId7"/>
    <sheet name="Legal &amp; Completion" sheetId="6" state="visible" r:id="rId8"/>
    <sheet name="Client Reportin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<sst xmlns="http://schemas.openxmlformats.org/spreadsheetml/2006/main" count="437" uniqueCount="211">
  <si>
    <t xml:space="preserve">MANDATE SUMMARY</t>
  </si>
  <si>
    <t xml:space="preserve">DEAL</t>
  </si>
  <si>
    <t xml:space="preserve">Property name</t>
  </si>
  <si>
    <t xml:space="preserve">Mandate ref</t>
  </si>
  <si>
    <t xml:space="preserve">Address</t>
  </si>
  <si>
    <t xml:space="preserve">Sector / asset type</t>
  </si>
  <si>
    <t xml:space="preserve">Client / vendor</t>
  </si>
  <si>
    <t xml:space="preserve">Tenure</t>
  </si>
  <si>
    <t xml:space="preserve">Sale structure (asset / share)</t>
  </si>
  <si>
    <t xml:space="preserve">VAT position (OTT / TOGC)</t>
  </si>
  <si>
    <t xml:space="preserve">MANDATE TERMS</t>
  </si>
  <si>
    <t xml:space="preserve">Mandate type</t>
  </si>
  <si>
    <t xml:space="preserve">Instruction date</t>
  </si>
  <si>
    <t xml:space="preserve">Agent / surveyor</t>
  </si>
  <si>
    <t xml:space="preserve">Fee basis</t>
  </si>
  <si>
    <t xml:space="preserve">Sending email account</t>
  </si>
  <si>
    <t xml:space="preserve">Abort fee</t>
  </si>
  <si>
    <t xml:space="preserve">Process type</t>
  </si>
  <si>
    <t xml:space="preserve">Send mode (auto / draft)</t>
  </si>
  <si>
    <t xml:space="preserve">Quoting price</t>
  </si>
  <si>
    <t xml:space="preserve">Target NIY</t>
  </si>
  <si>
    <t xml:space="preserve">KEY DATES</t>
  </si>
  <si>
    <t xml:space="preserve">Launch date</t>
  </si>
  <si>
    <t xml:space="preserve">Round 1 process letter</t>
  </si>
  <si>
    <t xml:space="preserve">Round 2 (best &amp; final)</t>
  </si>
  <si>
    <t xml:space="preserve">Preferred bidder selected</t>
  </si>
  <si>
    <t xml:space="preserve">Heads of Terms agreed</t>
  </si>
  <si>
    <t xml:space="preserve">Target exchange</t>
  </si>
  <si>
    <t xml:space="preserve">Target completion</t>
  </si>
  <si>
    <t xml:space="preserve">Actual completion</t>
  </si>
  <si>
    <t xml:space="preserve">LIVE STATUS (auto-calculated)</t>
  </si>
  <si>
    <t xml:space="preserve">Buyers on list</t>
  </si>
  <si>
    <t xml:space="preserve">NDAs issued</t>
  </si>
  <si>
    <t xml:space="preserve">NDAs signed</t>
  </si>
  <si>
    <t xml:space="preserve">Buyers qualified (AML + PoF)</t>
  </si>
  <si>
    <t xml:space="preserve">Round 1 bids received</t>
  </si>
  <si>
    <t xml:space="preserve">Round 2 bids received</t>
  </si>
  <si>
    <t xml:space="preserve">Round 3 bids received</t>
  </si>
  <si>
    <t xml:space="preserve">Highest offer (any round)</t>
  </si>
  <si>
    <t xml:space="preserve">Tasks outstanding</t>
  </si>
  <si>
    <t xml:space="preserve">Current stage</t>
  </si>
  <si>
    <t xml:space="preserve">Counts pull live from the other tabs and update on recalculation.</t>
  </si>
  <si>
    <t xml:space="preserve">TASK CHECKLIST  (full sale lifecycle)</t>
  </si>
  <si>
    <t xml:space="preserve">Phase</t>
  </si>
  <si>
    <t xml:space="preserve">Task</t>
  </si>
  <si>
    <t xml:space="preserve">Owner</t>
  </si>
  <si>
    <t xml:space="preserve">Status</t>
  </si>
  <si>
    <t xml:space="preserve">Due date</t>
  </si>
  <si>
    <t xml:space="preserve">Date done</t>
  </si>
  <si>
    <t xml:space="preserve">Automated by</t>
  </si>
  <si>
    <t xml:space="preserve">1. Mandate &amp; setup</t>
  </si>
  <si>
    <t xml:space="preserve">Agree and sign agency / sale mandate</t>
  </si>
  <si>
    <t xml:space="preserve">Agent</t>
  </si>
  <si>
    <t xml:space="preserve">Not started</t>
  </si>
  <si>
    <t xml:space="preserve">onboard-mandate</t>
  </si>
  <si>
    <t xml:space="preserve">Confirm fee basis, abort fee, marketing budget</t>
  </si>
  <si>
    <t xml:space="preserve">Confirm sale structure (asset vs share / SPV)</t>
  </si>
  <si>
    <t xml:space="preserve">Run AML / KYC on vendor and beneficial owners</t>
  </si>
  <si>
    <t xml:space="preserve">Confirm VAT position (OTT / TOGC) with client</t>
  </si>
  <si>
    <t xml:space="preserve">Agree process type and timetable</t>
  </si>
  <si>
    <t xml:space="preserve">Create deal folder, tracker and schedules</t>
  </si>
  <si>
    <t xml:space="preserve">setup-deal</t>
  </si>
  <si>
    <t xml:space="preserve">2. Information &amp; data room</t>
  </si>
  <si>
    <t xml:space="preserve">Collect title documents</t>
  </si>
  <si>
    <t xml:space="preserve">build-dataroom</t>
  </si>
  <si>
    <t xml:space="preserve">Collect leases, licences, deeds of variation</t>
  </si>
  <si>
    <t xml:space="preserve">Compile and verify tenancy schedule / rent roll</t>
  </si>
  <si>
    <t xml:space="preserve">Gather service charge budgets and accounts</t>
  </si>
  <si>
    <t xml:space="preserve">Obtain EPC(s) and confirm validity</t>
  </si>
  <si>
    <t xml:space="preserve">Obtain asbestos register, FRA, surveys</t>
  </si>
  <si>
    <t xml:space="preserve">Collect deposits, AGAs, guarantees</t>
  </si>
  <si>
    <t xml:space="preserve">Gather planning, building regs, warranties</t>
  </si>
  <si>
    <t xml:space="preserve">Commission / compile vendor due diligence</t>
  </si>
  <si>
    <t xml:space="preserve">Build and index the data room</t>
  </si>
  <si>
    <t xml:space="preserve">3. Marketing &amp; buyers</t>
  </si>
  <si>
    <t xml:space="preserve">Build and qualify target buyer list</t>
  </si>
  <si>
    <t xml:space="preserve">manual</t>
  </si>
  <si>
    <t xml:space="preserve">Prepare teaser and Information Memorandum</t>
  </si>
  <si>
    <t xml:space="preserve">Issue teaser, log expressions of interest</t>
  </si>
  <si>
    <t xml:space="preserve">review-inbox</t>
  </si>
  <si>
    <t xml:space="preserve">Issue NDAs to interested parties</t>
  </si>
  <si>
    <t xml:space="preserve">manage-ndas</t>
  </si>
  <si>
    <t xml:space="preserve">Chase unsigned NDAs (every 2 days)</t>
  </si>
  <si>
    <t xml:space="preserve">File signed NDAs, grant data room access</t>
  </si>
  <si>
    <t xml:space="preserve">Run buyer AML / KYC and proof of funds</t>
  </si>
  <si>
    <t xml:space="preserve">qualify-buyer</t>
  </si>
  <si>
    <t xml:space="preserve">Arrange inspections / tenant liaison</t>
  </si>
  <si>
    <t xml:space="preserve">Run and log data room Q&amp;A</t>
  </si>
  <si>
    <t xml:space="preserve">4. Bids &amp; offers</t>
  </si>
  <si>
    <t xml:space="preserve">Issue round 1 process letter</t>
  </si>
  <si>
    <t xml:space="preserve">request-bids</t>
  </si>
  <si>
    <t xml:space="preserve">Receive and log round 1 bids</t>
  </si>
  <si>
    <t xml:space="preserve">process-bids</t>
  </si>
  <si>
    <t xml:space="preserve">Analyse bids, report to client</t>
  </si>
  <si>
    <t xml:space="preserve">Issue round 2 best-and-final process letter</t>
  </si>
  <si>
    <t xml:space="preserve">Log round 2 bids and compare rounds</t>
  </si>
  <si>
    <t xml:space="preserve">Notify unsuccessful bidders</t>
  </si>
  <si>
    <t xml:space="preserve">select-and-hot</t>
  </si>
  <si>
    <t xml:space="preserve">5. Preferred bidder &amp; HoT</t>
  </si>
  <si>
    <t xml:space="preserve">Select preferred bidder with client</t>
  </si>
  <si>
    <t xml:space="preserve">Negotiate and agree Heads of Terms</t>
  </si>
  <si>
    <t xml:space="preserve">Confirm exclusivity / lockout</t>
  </si>
  <si>
    <t xml:space="preserve">6. Legal &amp; completion</t>
  </si>
  <si>
    <t xml:space="preserve">Instruct vendor solicitors, issue contract pack</t>
  </si>
  <si>
    <t xml:space="preserve">Solicitor</t>
  </si>
  <si>
    <t xml:space="preserve">track-legals</t>
  </si>
  <si>
    <t xml:space="preserve">Coordinate CPSE replies and enquiries</t>
  </si>
  <si>
    <t xml:space="preserve">Support due diligence and searches</t>
  </si>
  <si>
    <t xml:space="preserve">Manage deposit and exchange</t>
  </si>
  <si>
    <t xml:space="preserve">Coordinate to completion and apportionments</t>
  </si>
  <si>
    <t xml:space="preserve">Tenant / managing agent handover</t>
  </si>
  <si>
    <t xml:space="preserve">7. Reporting &amp; close</t>
  </si>
  <si>
    <t xml:space="preserve">Regular (weekly) client progress reports</t>
  </si>
  <si>
    <t xml:space="preserve">client-report</t>
  </si>
  <si>
    <t xml:space="preserve">Close data room, archive records</t>
  </si>
  <si>
    <t xml:space="preserve">Invoice fee and disbursements</t>
  </si>
  <si>
    <t xml:space="preserve">Issue final closing report to client</t>
  </si>
  <si>
    <t xml:space="preserve">INFORMATION &amp; DATA ROOM CHECKLIST</t>
  </si>
  <si>
    <t xml:space="preserve">Category</t>
  </si>
  <si>
    <t xml:space="preserve">Document</t>
  </si>
  <si>
    <t xml:space="preserve">Received</t>
  </si>
  <si>
    <t xml:space="preserve">In data room</t>
  </si>
  <si>
    <t xml:space="preserve">Date</t>
  </si>
  <si>
    <t xml:space="preserve">Notes</t>
  </si>
  <si>
    <t xml:space="preserve">Title</t>
  </si>
  <si>
    <t xml:space="preserve">Official copies of register and title plan</t>
  </si>
  <si>
    <t xml:space="preserve">No</t>
  </si>
  <si>
    <t xml:space="preserve">Filed documents / restrictive covenants</t>
  </si>
  <si>
    <t xml:space="preserve">Leasing</t>
  </si>
  <si>
    <t xml:space="preserve">Leases, underleases and counterparts</t>
  </si>
  <si>
    <t xml:space="preserve">Licences and deeds of variation / side letters</t>
  </si>
  <si>
    <t xml:space="preserve">Tenancy schedule / rent roll (verified)</t>
  </si>
  <si>
    <t xml:space="preserve">Rent deposit deeds and AGAs / guarantees</t>
  </si>
  <si>
    <t xml:space="preserve">Financial</t>
  </si>
  <si>
    <t xml:space="preserve">Service charge budgets and reconciled accounts</t>
  </si>
  <si>
    <t xml:space="preserve">Arrears report and rent receipts</t>
  </si>
  <si>
    <t xml:space="preserve">Compliance</t>
  </si>
  <si>
    <t xml:space="preserve">EPC certificate(s)</t>
  </si>
  <si>
    <t xml:space="preserve">Asbestos register / survey</t>
  </si>
  <si>
    <t xml:space="preserve">Fire risk assessment</t>
  </si>
  <si>
    <t xml:space="preserve">Condition / structural / M&amp;E surveys</t>
  </si>
  <si>
    <t xml:space="preserve">Planning</t>
  </si>
  <si>
    <t xml:space="preserve">Planning consents and conditions</t>
  </si>
  <si>
    <t xml:space="preserve">Building regulations approvals</t>
  </si>
  <si>
    <t xml:space="preserve">Collateral warranties / latent defects cover</t>
  </si>
  <si>
    <t xml:space="preserve">Management</t>
  </si>
  <si>
    <t xml:space="preserve">Management agreement and managing agent details</t>
  </si>
  <si>
    <t xml:space="preserve">Diligence</t>
  </si>
  <si>
    <t xml:space="preserve">Vendor due diligence report</t>
  </si>
  <si>
    <t xml:space="preserve">Replies to standard pre-contract enquiries (CPSE)</t>
  </si>
  <si>
    <t xml:space="preserve">BUYER PIPELINE</t>
  </si>
  <si>
    <t xml:space="preserve">Buyer</t>
  </si>
  <si>
    <t xml:space="preserve">Company</t>
  </si>
  <si>
    <t xml:space="preserve">Contact email</t>
  </si>
  <si>
    <t xml:space="preserve">Enquiry date</t>
  </si>
  <si>
    <t xml:space="preserve">NDA status</t>
  </si>
  <si>
    <t xml:space="preserve">NDA sent</t>
  </si>
  <si>
    <t xml:space="preserve">Last chase</t>
  </si>
  <si>
    <t xml:space="preserve">Chase count</t>
  </si>
  <si>
    <t xml:space="preserve">NDA signed</t>
  </si>
  <si>
    <t xml:space="preserve">AML/KYC</t>
  </si>
  <si>
    <t xml:space="preserve">Proof of funds</t>
  </si>
  <si>
    <t xml:space="preserve">R1 bid</t>
  </si>
  <si>
    <t xml:space="preserve">R2 bid</t>
  </si>
  <si>
    <t xml:space="preserve">R3 bid</t>
  </si>
  <si>
    <t xml:space="preserve">BID COMPARISON</t>
  </si>
  <si>
    <t xml:space="preserve">(property):  Round 1 bid comparison        Prepared 07 Jun 2026</t>
  </si>
  <si>
    <t xml:space="preserve">Bidder</t>
  </si>
  <si>
    <t xml:space="preserve">R1 price</t>
  </si>
  <si>
    <t xml:space="preserve">R2 price</t>
  </si>
  <si>
    <t xml:space="preserve">R3 price</t>
  </si>
  <si>
    <t xml:space="preserve">Chg R1&gt;R2</t>
  </si>
  <si>
    <t xml:space="preserve">Chg R2&gt;R3</t>
  </si>
  <si>
    <t xml:space="preserve">Latest offer</t>
  </si>
  <si>
    <t xml:space="preserve">R1 NIY</t>
  </si>
  <si>
    <t xml:space="preserve">R2 NIY</t>
  </si>
  <si>
    <t xml:space="preserve">R3 NIY</t>
  </si>
  <si>
    <t xml:space="preserve">Movement</t>
  </si>
  <si>
    <t xml:space="preserve">Conditions (latest)</t>
  </si>
  <si>
    <t xml:space="preserve">Completion (latest)</t>
  </si>
  <si>
    <t xml:space="preserve">Funding / PoF</t>
  </si>
  <si>
    <t xml:space="preserve">Movement: Improved / Held / Reduced compares a bidder's latest round with their previous round. Withdrawn = bid in an earlier round, none in the current round. New = first bid after round 1.</t>
  </si>
  <si>
    <t xml:space="preserve">To send to the client, select rows 1 to 11 and copy into the report. Figures are exclusive of VAT and costs.</t>
  </si>
  <si>
    <t xml:space="preserve">LEGAL &amp; COMPLETION MILESTONES</t>
  </si>
  <si>
    <t xml:space="preserve">Milestone</t>
  </si>
  <si>
    <t xml:space="preserve">Responsible</t>
  </si>
  <si>
    <t xml:space="preserve">Target date</t>
  </si>
  <si>
    <t xml:space="preserve">Actual date</t>
  </si>
  <si>
    <t xml:space="preserve">Preferred bidder confirmed</t>
  </si>
  <si>
    <t xml:space="preserve">Heads of Terms agreed and circulated</t>
  </si>
  <si>
    <t xml:space="preserve">Exclusivity / lockout in place</t>
  </si>
  <si>
    <t xml:space="preserve">Vendor solicitors instructed</t>
  </si>
  <si>
    <t xml:space="preserve">Contract pack issued to buyer solicitors</t>
  </si>
  <si>
    <t xml:space="preserve">CPSE replies provided</t>
  </si>
  <si>
    <t xml:space="preserve">Buyer searches submitted</t>
  </si>
  <si>
    <t xml:space="preserve">Pre-contract enquiries answered</t>
  </si>
  <si>
    <t xml:space="preserve">Buyer board / IC approval confirmed</t>
  </si>
  <si>
    <t xml:space="preserve">Buyer funding confirmed</t>
  </si>
  <si>
    <t xml:space="preserve">Contract approved / engrossed</t>
  </si>
  <si>
    <t xml:space="preserve">Exchange of contracts</t>
  </si>
  <si>
    <t xml:space="preserve">Deposit received</t>
  </si>
  <si>
    <t xml:space="preserve">Completion</t>
  </si>
  <si>
    <t xml:space="preserve">Completion statement and apportionments</t>
  </si>
  <si>
    <t xml:space="preserve">Notices to tenants / rent authority</t>
  </si>
  <si>
    <t xml:space="preserve">Managing agent handover</t>
  </si>
  <si>
    <t xml:space="preserve">CLIENT REPORTING LOG</t>
  </si>
  <si>
    <t xml:space="preserve">Report type</t>
  </si>
  <si>
    <t xml:space="preserve">Period covered</t>
  </si>
  <si>
    <t xml:space="preserve">Sent to</t>
  </si>
  <si>
    <t xml:space="preserve">Method</t>
  </si>
  <si>
    <t xml:space="preserve">Summary / notes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</si>
</sst>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\£#,##0;&quot;(£&quot;#,##0\);\-"/>
    <numFmt numFmtId="167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10"/>
      <color rgb="FF1F4E45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B98A2E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45"/>
        <bgColor rgb="FF2E6B5E"/>
      </patternFill>
    </fill>
    <fill>
      <patternFill patternType="solid">
        <fgColor rgb="FFE8F0EE"/>
        <bgColor rgb="FFF2F2F2"/>
      </patternFill>
    </fill>
    <fill>
      <patternFill patternType="solid">
        <fgColor rgb="FF2E6B5E"/>
        <bgColor rgb="FF1F4E45"/>
      </patternFill>
    </fill>
    <fill>
      <patternFill patternType="solid">
        <fgColor rgb="FFF2F2F2"/>
        <bgColor rgb="FFE8F0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7" fontId="6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8A2E"/>
      <rgbColor rgb="FF800080"/>
      <rgbColor rgb="FF2E6B5E"/>
      <rgbColor rgb="FFC9C9C9"/>
      <rgbColor rgb="FF808080"/>
      <rgbColor rgb="FF9999FF"/>
      <rgbColor rgb="FF993366"/>
      <rgbColor rgb="FFF2F2F2"/>
      <rgbColor rgb="FFE8F0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4" min="4" style="0" width="34"/>
  </cols>
  <sheetData>
    <row r="1" customFormat="false" ht="30" hidden="false" customHeight="tru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  <c r="B3" s="2"/>
      <c r="C3" s="2"/>
      <c r="D3" s="2"/>
    </row>
    <row r="4" customFormat="false" ht="15" hidden="false" customHeight="false" outlineLevel="0" collapsed="false">
      <c r="A4" s="3" t="s">
        <v>2</v>
      </c>
      <c r="B4" s="4"/>
      <c r="C4" s="3" t="s">
        <v>3</v>
      </c>
      <c r="D4" s="4"/>
    </row>
    <row r="5" customFormat="false" ht="15" hidden="false" customHeight="false" outlineLevel="0" collapsed="false">
      <c r="A5" s="3" t="s">
        <v>4</v>
      </c>
      <c r="B5" s="4"/>
      <c r="C5" s="3" t="s">
        <v>5</v>
      </c>
      <c r="D5" s="4"/>
    </row>
    <row r="6" customFormat="false" ht="15" hidden="false" customHeight="false" outlineLevel="0" collapsed="false">
      <c r="A6" s="3" t="s">
        <v>6</v>
      </c>
      <c r="B6" s="4"/>
      <c r="C6" s="3" t="s">
        <v>7</v>
      </c>
      <c r="D6" s="4"/>
    </row>
    <row r="7" customFormat="false" ht="15" hidden="false" customHeight="false" outlineLevel="0" collapsed="false">
      <c r="A7" s="3" t="s">
        <v>8</v>
      </c>
      <c r="B7" s="4"/>
      <c r="C7" s="3" t="s">
        <v>9</v>
      </c>
      <c r="D7" s="4"/>
    </row>
    <row r="8" customFormat="false" ht="15" hidden="false" customHeight="false" outlineLevel="0" collapsed="false">
      <c r="A8" s="2" t="s">
        <v>10</v>
      </c>
      <c r="B8" s="2"/>
      <c r="C8" s="2"/>
      <c r="D8" s="2"/>
    </row>
    <row r="9" customFormat="false" ht="15" hidden="false" customHeight="false" outlineLevel="0" collapsed="false">
      <c r="A9" s="3" t="s">
        <v>11</v>
      </c>
      <c r="B9" s="4"/>
      <c r="C9" s="3" t="s">
        <v>12</v>
      </c>
      <c r="D9" s="4"/>
    </row>
    <row r="10" customFormat="false" ht="15" hidden="false" customHeight="false" outlineLevel="0" collapsed="false">
      <c r="A10" s="3" t="s">
        <v>13</v>
      </c>
      <c r="B10" s="4"/>
      <c r="C10" s="3" t="s">
        <v>14</v>
      </c>
      <c r="D10" s="4"/>
    </row>
    <row r="11" customFormat="false" ht="15" hidden="false" customHeight="false" outlineLevel="0" collapsed="false">
      <c r="A11" s="3" t="s">
        <v>15</v>
      </c>
      <c r="B11" s="4"/>
      <c r="C11" s="3" t="s">
        <v>16</v>
      </c>
      <c r="D11" s="4"/>
    </row>
    <row r="12" customFormat="false" ht="15" hidden="false" customHeight="false" outlineLevel="0" collapsed="false">
      <c r="A12" s="3" t="s">
        <v>17</v>
      </c>
      <c r="B12" s="4"/>
      <c r="C12" s="3" t="s">
        <v>18</v>
      </c>
      <c r="D12" s="4"/>
    </row>
    <row r="13" customFormat="false" ht="15" hidden="false" customHeight="false" outlineLevel="0" collapsed="false">
      <c r="A13" s="3" t="s">
        <v>19</v>
      </c>
      <c r="B13" s="4"/>
      <c r="C13" s="3" t="s">
        <v>20</v>
      </c>
      <c r="D13" s="4"/>
    </row>
    <row r="14" customFormat="false" ht="15" hidden="false" customHeight="false" outlineLevel="0" collapsed="false">
      <c r="A14" s="2" t="s">
        <v>21</v>
      </c>
      <c r="B14" s="2"/>
      <c r="C14" s="2"/>
      <c r="D14" s="2"/>
    </row>
    <row r="15" customFormat="false" ht="15" hidden="false" customHeight="false" outlineLevel="0" collapsed="false">
      <c r="A15" s="3" t="s">
        <v>22</v>
      </c>
      <c r="B15" s="4"/>
      <c r="C15" s="3" t="s">
        <v>23</v>
      </c>
      <c r="D15" s="4"/>
    </row>
    <row r="16" customFormat="false" ht="15" hidden="false" customHeight="false" outlineLevel="0" collapsed="false">
      <c r="A16" s="3" t="s">
        <v>24</v>
      </c>
      <c r="B16" s="4"/>
      <c r="C16" s="3" t="s">
        <v>25</v>
      </c>
      <c r="D16" s="4"/>
    </row>
    <row r="17" customFormat="false" ht="15" hidden="false" customHeight="false" outlineLevel="0" collapsed="false">
      <c r="A17" s="3" t="s">
        <v>26</v>
      </c>
      <c r="B17" s="4"/>
      <c r="C17" s="3" t="s">
        <v>27</v>
      </c>
      <c r="D17" s="4"/>
    </row>
    <row r="18" customFormat="false" ht="15" hidden="false" customHeight="false" outlineLevel="0" collapsed="false">
      <c r="A18" s="3" t="s">
        <v>28</v>
      </c>
      <c r="B18" s="4"/>
      <c r="C18" s="3" t="s">
        <v>29</v>
      </c>
      <c r="D18" s="4"/>
    </row>
    <row r="20" customFormat="false" ht="15" hidden="false" customHeight="false" outlineLevel="0" collapsed="false">
      <c r="A20" s="2" t="s">
        <v>30</v>
      </c>
      <c r="B20" s="2"/>
      <c r="C20" s="2"/>
      <c r="D20" s="2"/>
    </row>
    <row r="21" customFormat="false" ht="15" hidden="false" customHeight="false" outlineLevel="0" collapsed="false">
      <c r="A21" s="3" t="s">
        <v>31</v>
      </c>
      <c r="B21" s="5" t="n">
        <f aca="false">COUNTA('Buyer Pipeline'!A4:A203)</f>
        <v>0</v>
      </c>
      <c r="C21" s="3" t="s">
        <v>32</v>
      </c>
      <c r="D21" s="5" t="n">
        <f aca="false">COUNTIF('Buyer Pipeline'!E4:E203,"Sent")+COUNTIF('Buyer Pipeline'!E4:E203,"Signed")</f>
        <v>0</v>
      </c>
    </row>
    <row r="22" customFormat="false" ht="15" hidden="false" customHeight="false" outlineLevel="0" collapsed="false">
      <c r="A22" s="3" t="s">
        <v>33</v>
      </c>
      <c r="B22" s="5" t="n">
        <f aca="false">COUNTIF('Buyer Pipeline'!E4:E203,"Signed")</f>
        <v>0</v>
      </c>
      <c r="C22" s="3" t="s">
        <v>34</v>
      </c>
      <c r="D22" s="5" t="n">
        <f aca="false">COUNTIFS('Buyer Pipeline'!J4:J203,"Clear",'Buyer Pipeline'!K4:K203,"Verified")</f>
        <v>0</v>
      </c>
    </row>
    <row r="23" customFormat="false" ht="15" hidden="false" customHeight="false" outlineLevel="0" collapsed="false">
      <c r="A23" s="3" t="s">
        <v>35</v>
      </c>
      <c r="B23" s="5" t="n">
        <f aca="false">COUNTIF('Buyer Pipeline'!L4:L203,"Received")</f>
        <v>0</v>
      </c>
      <c r="C23" s="3" t="s">
        <v>36</v>
      </c>
      <c r="D23" s="5" t="n">
        <f aca="false">COUNTIF('Buyer Pipeline'!M4:M203,"Received")</f>
        <v>0</v>
      </c>
    </row>
    <row r="24" customFormat="false" ht="15" hidden="false" customHeight="false" outlineLevel="0" collapsed="false">
      <c r="A24" s="3" t="s">
        <v>37</v>
      </c>
      <c r="B24" s="5" t="n">
        <f aca="false">COUNTIF('Buyer Pipeline'!N4:N203,"Received")</f>
        <v>0</v>
      </c>
      <c r="C24" s="3" t="s">
        <v>38</v>
      </c>
      <c r="D24" s="6" t="n">
        <f aca="false">MAX('Bid Log'!B4:D203)</f>
        <v>0</v>
      </c>
    </row>
    <row r="25" customFormat="false" ht="15" hidden="false" customHeight="false" outlineLevel="0" collapsed="false">
      <c r="A25" s="3" t="s">
        <v>39</v>
      </c>
      <c r="B25" s="5" t="n">
        <f aca="false">COUNTIF('Task Checklist'!D4:D200,"Not started")+COUNTIF('Task Checklist'!D4:D200,"In progress")</f>
        <v>45</v>
      </c>
      <c r="C25" s="3" t="s">
        <v>40</v>
      </c>
      <c r="D25" s="5"/>
    </row>
    <row r="27" customFormat="false" ht="15" hidden="false" customHeight="false" outlineLevel="0" collapsed="false">
      <c r="A27" s="7" t="s">
        <v>41</v>
      </c>
      <c r="B27" s="7"/>
      <c r="C27" s="7"/>
      <c r="D27" s="7"/>
    </row>
  </sheetData>
  <mergeCells count="6">
    <mergeCell ref="A1:D1"/>
    <mergeCell ref="A3:D3"/>
    <mergeCell ref="A8:D8"/>
    <mergeCell ref="A14:D14"/>
    <mergeCell ref="A20:D20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8"/>
    <col collapsed="false" customWidth="true" hidden="false" outlineLevel="0" max="4" min="3" style="0" width="16"/>
    <col collapsed="false" customWidth="true" hidden="false" outlineLevel="0" max="6" min="5" style="0" width="13"/>
    <col collapsed="false" customWidth="true" hidden="false" outlineLevel="0" max="7" min="7" style="0" width="30"/>
  </cols>
  <sheetData>
    <row r="1" customFormat="false" ht="30" hidden="false" customHeight="true" outlineLevel="0" collapsed="false">
      <c r="A1" s="1" t="s">
        <v>42</v>
      </c>
      <c r="B1" s="1"/>
      <c r="C1" s="1"/>
      <c r="D1" s="1"/>
      <c r="E1" s="1"/>
      <c r="F1" s="1"/>
      <c r="G1" s="1"/>
    </row>
    <row r="3" customFormat="false" ht="30" hidden="false" customHeight="true" outlineLevel="0" collapsed="false">
      <c r="A3" s="8" t="s">
        <v>43</v>
      </c>
      <c r="B3" s="8" t="s">
        <v>44</v>
      </c>
      <c r="C3" s="8" t="s">
        <v>45</v>
      </c>
      <c r="D3" s="8" t="s">
        <v>46</v>
      </c>
      <c r="E3" s="8" t="s">
        <v>47</v>
      </c>
      <c r="F3" s="8" t="s">
        <v>48</v>
      </c>
      <c r="G3" s="8" t="s">
        <v>49</v>
      </c>
    </row>
    <row r="4" customFormat="false" ht="15" hidden="false" customHeight="false" outlineLevel="0" collapsed="false">
      <c r="A4" s="9" t="s">
        <v>50</v>
      </c>
      <c r="B4" s="9" t="s">
        <v>51</v>
      </c>
      <c r="C4" s="9" t="s">
        <v>52</v>
      </c>
      <c r="D4" s="9" t="s">
        <v>53</v>
      </c>
      <c r="E4" s="9"/>
      <c r="F4" s="9"/>
      <c r="G4" s="9" t="s">
        <v>54</v>
      </c>
    </row>
    <row r="5" customFormat="false" ht="15" hidden="false" customHeight="false" outlineLevel="0" collapsed="false">
      <c r="A5" s="4" t="s">
        <v>50</v>
      </c>
      <c r="B5" s="4" t="s">
        <v>55</v>
      </c>
      <c r="C5" s="4" t="s">
        <v>52</v>
      </c>
      <c r="D5" s="4" t="s">
        <v>53</v>
      </c>
      <c r="E5" s="4"/>
      <c r="F5" s="4"/>
      <c r="G5" s="4" t="s">
        <v>54</v>
      </c>
    </row>
    <row r="6" customFormat="false" ht="15" hidden="false" customHeight="false" outlineLevel="0" collapsed="false">
      <c r="A6" s="9" t="s">
        <v>50</v>
      </c>
      <c r="B6" s="9" t="s">
        <v>56</v>
      </c>
      <c r="C6" s="9" t="s">
        <v>52</v>
      </c>
      <c r="D6" s="9" t="s">
        <v>53</v>
      </c>
      <c r="E6" s="9"/>
      <c r="F6" s="9"/>
      <c r="G6" s="9" t="s">
        <v>54</v>
      </c>
    </row>
    <row r="7" customFormat="false" ht="15" hidden="false" customHeight="false" outlineLevel="0" collapsed="false">
      <c r="A7" s="4" t="s">
        <v>50</v>
      </c>
      <c r="B7" s="4" t="s">
        <v>57</v>
      </c>
      <c r="C7" s="4" t="s">
        <v>52</v>
      </c>
      <c r="D7" s="4" t="s">
        <v>53</v>
      </c>
      <c r="E7" s="4"/>
      <c r="F7" s="4"/>
      <c r="G7" s="4" t="s">
        <v>54</v>
      </c>
    </row>
    <row r="8" customFormat="false" ht="15" hidden="false" customHeight="false" outlineLevel="0" collapsed="false">
      <c r="A8" s="9" t="s">
        <v>50</v>
      </c>
      <c r="B8" s="9" t="s">
        <v>58</v>
      </c>
      <c r="C8" s="9" t="s">
        <v>52</v>
      </c>
      <c r="D8" s="9" t="s">
        <v>53</v>
      </c>
      <c r="E8" s="9"/>
      <c r="F8" s="9"/>
      <c r="G8" s="9" t="s">
        <v>54</v>
      </c>
    </row>
    <row r="9" customFormat="false" ht="15" hidden="false" customHeight="false" outlineLevel="0" collapsed="false">
      <c r="A9" s="4" t="s">
        <v>50</v>
      </c>
      <c r="B9" s="4" t="s">
        <v>59</v>
      </c>
      <c r="C9" s="4" t="s">
        <v>52</v>
      </c>
      <c r="D9" s="4" t="s">
        <v>53</v>
      </c>
      <c r="E9" s="4"/>
      <c r="F9" s="4"/>
      <c r="G9" s="4" t="s">
        <v>54</v>
      </c>
    </row>
    <row r="10" customFormat="false" ht="15" hidden="false" customHeight="false" outlineLevel="0" collapsed="false">
      <c r="A10" s="9" t="s">
        <v>50</v>
      </c>
      <c r="B10" s="9" t="s">
        <v>60</v>
      </c>
      <c r="C10" s="9" t="s">
        <v>52</v>
      </c>
      <c r="D10" s="9" t="s">
        <v>53</v>
      </c>
      <c r="E10" s="9"/>
      <c r="F10" s="9"/>
      <c r="G10" s="9" t="s">
        <v>61</v>
      </c>
    </row>
    <row r="11" customFormat="false" ht="23.85" hidden="false" customHeight="false" outlineLevel="0" collapsed="false">
      <c r="A11" s="4" t="s">
        <v>62</v>
      </c>
      <c r="B11" s="4" t="s">
        <v>63</v>
      </c>
      <c r="C11" s="4" t="s">
        <v>52</v>
      </c>
      <c r="D11" s="4" t="s">
        <v>53</v>
      </c>
      <c r="E11" s="4"/>
      <c r="F11" s="4"/>
      <c r="G11" s="4" t="s">
        <v>64</v>
      </c>
    </row>
    <row r="12" customFormat="false" ht="23.85" hidden="false" customHeight="false" outlineLevel="0" collapsed="false">
      <c r="A12" s="9" t="s">
        <v>62</v>
      </c>
      <c r="B12" s="9" t="s">
        <v>65</v>
      </c>
      <c r="C12" s="9" t="s">
        <v>52</v>
      </c>
      <c r="D12" s="9" t="s">
        <v>53</v>
      </c>
      <c r="E12" s="9"/>
      <c r="F12" s="9"/>
      <c r="G12" s="9" t="s">
        <v>64</v>
      </c>
    </row>
    <row r="13" customFormat="false" ht="23.85" hidden="false" customHeight="false" outlineLevel="0" collapsed="false">
      <c r="A13" s="4" t="s">
        <v>62</v>
      </c>
      <c r="B13" s="4" t="s">
        <v>66</v>
      </c>
      <c r="C13" s="4" t="s">
        <v>52</v>
      </c>
      <c r="D13" s="4" t="s">
        <v>53</v>
      </c>
      <c r="E13" s="4"/>
      <c r="F13" s="4"/>
      <c r="G13" s="4" t="s">
        <v>64</v>
      </c>
    </row>
    <row r="14" customFormat="false" ht="23.85" hidden="false" customHeight="false" outlineLevel="0" collapsed="false">
      <c r="A14" s="9" t="s">
        <v>62</v>
      </c>
      <c r="B14" s="9" t="s">
        <v>67</v>
      </c>
      <c r="C14" s="9" t="s">
        <v>52</v>
      </c>
      <c r="D14" s="9" t="s">
        <v>53</v>
      </c>
      <c r="E14" s="9"/>
      <c r="F14" s="9"/>
      <c r="G14" s="9" t="s">
        <v>64</v>
      </c>
    </row>
    <row r="15" customFormat="false" ht="23.85" hidden="false" customHeight="false" outlineLevel="0" collapsed="false">
      <c r="A15" s="4" t="s">
        <v>62</v>
      </c>
      <c r="B15" s="4" t="s">
        <v>68</v>
      </c>
      <c r="C15" s="4" t="s">
        <v>52</v>
      </c>
      <c r="D15" s="4" t="s">
        <v>53</v>
      </c>
      <c r="E15" s="4"/>
      <c r="F15" s="4"/>
      <c r="G15" s="4" t="s">
        <v>64</v>
      </c>
    </row>
    <row r="16" customFormat="false" ht="23.85" hidden="false" customHeight="false" outlineLevel="0" collapsed="false">
      <c r="A16" s="9" t="s">
        <v>62</v>
      </c>
      <c r="B16" s="9" t="s">
        <v>69</v>
      </c>
      <c r="C16" s="9" t="s">
        <v>52</v>
      </c>
      <c r="D16" s="9" t="s">
        <v>53</v>
      </c>
      <c r="E16" s="9"/>
      <c r="F16" s="9"/>
      <c r="G16" s="9" t="s">
        <v>64</v>
      </c>
    </row>
    <row r="17" customFormat="false" ht="23.85" hidden="false" customHeight="false" outlineLevel="0" collapsed="false">
      <c r="A17" s="4" t="s">
        <v>62</v>
      </c>
      <c r="B17" s="4" t="s">
        <v>70</v>
      </c>
      <c r="C17" s="4" t="s">
        <v>52</v>
      </c>
      <c r="D17" s="4" t="s">
        <v>53</v>
      </c>
      <c r="E17" s="4"/>
      <c r="F17" s="4"/>
      <c r="G17" s="4" t="s">
        <v>64</v>
      </c>
    </row>
    <row r="18" customFormat="false" ht="23.85" hidden="false" customHeight="false" outlineLevel="0" collapsed="false">
      <c r="A18" s="9" t="s">
        <v>62</v>
      </c>
      <c r="B18" s="9" t="s">
        <v>71</v>
      </c>
      <c r="C18" s="9" t="s">
        <v>52</v>
      </c>
      <c r="D18" s="9" t="s">
        <v>53</v>
      </c>
      <c r="E18" s="9"/>
      <c r="F18" s="9"/>
      <c r="G18" s="9" t="s">
        <v>64</v>
      </c>
    </row>
    <row r="19" customFormat="false" ht="23.85" hidden="false" customHeight="false" outlineLevel="0" collapsed="false">
      <c r="A19" s="4" t="s">
        <v>62</v>
      </c>
      <c r="B19" s="4" t="s">
        <v>72</v>
      </c>
      <c r="C19" s="4" t="s">
        <v>52</v>
      </c>
      <c r="D19" s="4" t="s">
        <v>53</v>
      </c>
      <c r="E19" s="4"/>
      <c r="F19" s="4"/>
      <c r="G19" s="4" t="s">
        <v>64</v>
      </c>
    </row>
    <row r="20" customFormat="false" ht="23.85" hidden="false" customHeight="false" outlineLevel="0" collapsed="false">
      <c r="A20" s="9" t="s">
        <v>62</v>
      </c>
      <c r="B20" s="9" t="s">
        <v>73</v>
      </c>
      <c r="C20" s="9" t="s">
        <v>52</v>
      </c>
      <c r="D20" s="9" t="s">
        <v>53</v>
      </c>
      <c r="E20" s="9"/>
      <c r="F20" s="9"/>
      <c r="G20" s="9" t="s">
        <v>64</v>
      </c>
    </row>
    <row r="21" customFormat="false" ht="23.85" hidden="false" customHeight="false" outlineLevel="0" collapsed="false">
      <c r="A21" s="4" t="s">
        <v>74</v>
      </c>
      <c r="B21" s="4" t="s">
        <v>75</v>
      </c>
      <c r="C21" s="4" t="s">
        <v>52</v>
      </c>
      <c r="D21" s="4" t="s">
        <v>53</v>
      </c>
      <c r="E21" s="4"/>
      <c r="F21" s="4"/>
      <c r="G21" s="4" t="s">
        <v>76</v>
      </c>
    </row>
    <row r="22" customFormat="false" ht="23.85" hidden="false" customHeight="false" outlineLevel="0" collapsed="false">
      <c r="A22" s="9" t="s">
        <v>74</v>
      </c>
      <c r="B22" s="9" t="s">
        <v>77</v>
      </c>
      <c r="C22" s="9" t="s">
        <v>52</v>
      </c>
      <c r="D22" s="9" t="s">
        <v>53</v>
      </c>
      <c r="E22" s="9"/>
      <c r="F22" s="9"/>
      <c r="G22" s="9" t="s">
        <v>76</v>
      </c>
    </row>
    <row r="23" customFormat="false" ht="23.85" hidden="false" customHeight="false" outlineLevel="0" collapsed="false">
      <c r="A23" s="4" t="s">
        <v>74</v>
      </c>
      <c r="B23" s="4" t="s">
        <v>78</v>
      </c>
      <c r="C23" s="4" t="s">
        <v>52</v>
      </c>
      <c r="D23" s="4" t="s">
        <v>53</v>
      </c>
      <c r="E23" s="4"/>
      <c r="F23" s="4"/>
      <c r="G23" s="4" t="s">
        <v>79</v>
      </c>
    </row>
    <row r="24" customFormat="false" ht="23.85" hidden="false" customHeight="false" outlineLevel="0" collapsed="false">
      <c r="A24" s="9" t="s">
        <v>74</v>
      </c>
      <c r="B24" s="9" t="s">
        <v>80</v>
      </c>
      <c r="C24" s="9" t="s">
        <v>52</v>
      </c>
      <c r="D24" s="9" t="s">
        <v>53</v>
      </c>
      <c r="E24" s="9"/>
      <c r="F24" s="9"/>
      <c r="G24" s="9" t="s">
        <v>81</v>
      </c>
    </row>
    <row r="25" customFormat="false" ht="23.85" hidden="false" customHeight="false" outlineLevel="0" collapsed="false">
      <c r="A25" s="4" t="s">
        <v>74</v>
      </c>
      <c r="B25" s="4" t="s">
        <v>82</v>
      </c>
      <c r="C25" s="4" t="s">
        <v>52</v>
      </c>
      <c r="D25" s="4" t="s">
        <v>53</v>
      </c>
      <c r="E25" s="4"/>
      <c r="F25" s="4"/>
      <c r="G25" s="4" t="s">
        <v>81</v>
      </c>
    </row>
    <row r="26" customFormat="false" ht="23.85" hidden="false" customHeight="false" outlineLevel="0" collapsed="false">
      <c r="A26" s="9" t="s">
        <v>74</v>
      </c>
      <c r="B26" s="9" t="s">
        <v>83</v>
      </c>
      <c r="C26" s="9" t="s">
        <v>52</v>
      </c>
      <c r="D26" s="9" t="s">
        <v>53</v>
      </c>
      <c r="E26" s="9"/>
      <c r="F26" s="9"/>
      <c r="G26" s="9" t="s">
        <v>79</v>
      </c>
    </row>
    <row r="27" customFormat="false" ht="23.85" hidden="false" customHeight="false" outlineLevel="0" collapsed="false">
      <c r="A27" s="4" t="s">
        <v>74</v>
      </c>
      <c r="B27" s="4" t="s">
        <v>84</v>
      </c>
      <c r="C27" s="4" t="s">
        <v>52</v>
      </c>
      <c r="D27" s="4" t="s">
        <v>53</v>
      </c>
      <c r="E27" s="4"/>
      <c r="F27" s="4"/>
      <c r="G27" s="4" t="s">
        <v>85</v>
      </c>
    </row>
    <row r="28" customFormat="false" ht="23.85" hidden="false" customHeight="false" outlineLevel="0" collapsed="false">
      <c r="A28" s="9" t="s">
        <v>74</v>
      </c>
      <c r="B28" s="9" t="s">
        <v>86</v>
      </c>
      <c r="C28" s="9" t="s">
        <v>52</v>
      </c>
      <c r="D28" s="9" t="s">
        <v>53</v>
      </c>
      <c r="E28" s="9"/>
      <c r="F28" s="9"/>
      <c r="G28" s="9" t="s">
        <v>76</v>
      </c>
    </row>
    <row r="29" customFormat="false" ht="23.85" hidden="false" customHeight="false" outlineLevel="0" collapsed="false">
      <c r="A29" s="4" t="s">
        <v>74</v>
      </c>
      <c r="B29" s="4" t="s">
        <v>87</v>
      </c>
      <c r="C29" s="4" t="s">
        <v>52</v>
      </c>
      <c r="D29" s="4" t="s">
        <v>53</v>
      </c>
      <c r="E29" s="4"/>
      <c r="F29" s="4"/>
      <c r="G29" s="4" t="s">
        <v>76</v>
      </c>
    </row>
    <row r="30" customFormat="false" ht="15" hidden="false" customHeight="false" outlineLevel="0" collapsed="false">
      <c r="A30" s="9" t="s">
        <v>88</v>
      </c>
      <c r="B30" s="9" t="s">
        <v>89</v>
      </c>
      <c r="C30" s="9" t="s">
        <v>52</v>
      </c>
      <c r="D30" s="9" t="s">
        <v>53</v>
      </c>
      <c r="E30" s="9"/>
      <c r="F30" s="9"/>
      <c r="G30" s="9" t="s">
        <v>90</v>
      </c>
    </row>
    <row r="31" customFormat="false" ht="15" hidden="false" customHeight="false" outlineLevel="0" collapsed="false">
      <c r="A31" s="4" t="s">
        <v>88</v>
      </c>
      <c r="B31" s="4" t="s">
        <v>91</v>
      </c>
      <c r="C31" s="4" t="s">
        <v>52</v>
      </c>
      <c r="D31" s="4" t="s">
        <v>53</v>
      </c>
      <c r="E31" s="4"/>
      <c r="F31" s="4"/>
      <c r="G31" s="4" t="s">
        <v>92</v>
      </c>
    </row>
    <row r="32" customFormat="false" ht="15" hidden="false" customHeight="false" outlineLevel="0" collapsed="false">
      <c r="A32" s="9" t="s">
        <v>88</v>
      </c>
      <c r="B32" s="9" t="s">
        <v>93</v>
      </c>
      <c r="C32" s="9" t="s">
        <v>52</v>
      </c>
      <c r="D32" s="9" t="s">
        <v>53</v>
      </c>
      <c r="E32" s="9"/>
      <c r="F32" s="9"/>
      <c r="G32" s="9" t="s">
        <v>92</v>
      </c>
    </row>
    <row r="33" customFormat="false" ht="15" hidden="false" customHeight="false" outlineLevel="0" collapsed="false">
      <c r="A33" s="4" t="s">
        <v>88</v>
      </c>
      <c r="B33" s="4" t="s">
        <v>94</v>
      </c>
      <c r="C33" s="4" t="s">
        <v>52</v>
      </c>
      <c r="D33" s="4" t="s">
        <v>53</v>
      </c>
      <c r="E33" s="4"/>
      <c r="F33" s="4"/>
      <c r="G33" s="4" t="s">
        <v>90</v>
      </c>
    </row>
    <row r="34" customFormat="false" ht="15" hidden="false" customHeight="false" outlineLevel="0" collapsed="false">
      <c r="A34" s="9" t="s">
        <v>88</v>
      </c>
      <c r="B34" s="9" t="s">
        <v>95</v>
      </c>
      <c r="C34" s="9" t="s">
        <v>52</v>
      </c>
      <c r="D34" s="9" t="s">
        <v>53</v>
      </c>
      <c r="E34" s="9"/>
      <c r="F34" s="9"/>
      <c r="G34" s="9" t="s">
        <v>92</v>
      </c>
    </row>
    <row r="35" customFormat="false" ht="15" hidden="false" customHeight="false" outlineLevel="0" collapsed="false">
      <c r="A35" s="4" t="s">
        <v>88</v>
      </c>
      <c r="B35" s="4" t="s">
        <v>96</v>
      </c>
      <c r="C35" s="4" t="s">
        <v>52</v>
      </c>
      <c r="D35" s="4" t="s">
        <v>53</v>
      </c>
      <c r="E35" s="4"/>
      <c r="F35" s="4"/>
      <c r="G35" s="4" t="s">
        <v>97</v>
      </c>
    </row>
    <row r="36" customFormat="false" ht="23.85" hidden="false" customHeight="false" outlineLevel="0" collapsed="false">
      <c r="A36" s="9" t="s">
        <v>98</v>
      </c>
      <c r="B36" s="9" t="s">
        <v>99</v>
      </c>
      <c r="C36" s="9" t="s">
        <v>52</v>
      </c>
      <c r="D36" s="9" t="s">
        <v>53</v>
      </c>
      <c r="E36" s="9"/>
      <c r="F36" s="9"/>
      <c r="G36" s="9" t="s">
        <v>97</v>
      </c>
    </row>
    <row r="37" customFormat="false" ht="23.85" hidden="false" customHeight="false" outlineLevel="0" collapsed="false">
      <c r="A37" s="4" t="s">
        <v>98</v>
      </c>
      <c r="B37" s="4" t="s">
        <v>100</v>
      </c>
      <c r="C37" s="4" t="s">
        <v>52</v>
      </c>
      <c r="D37" s="4" t="s">
        <v>53</v>
      </c>
      <c r="E37" s="4"/>
      <c r="F37" s="4"/>
      <c r="G37" s="4" t="s">
        <v>97</v>
      </c>
    </row>
    <row r="38" customFormat="false" ht="23.85" hidden="false" customHeight="false" outlineLevel="0" collapsed="false">
      <c r="A38" s="9" t="s">
        <v>98</v>
      </c>
      <c r="B38" s="9" t="s">
        <v>101</v>
      </c>
      <c r="C38" s="9" t="s">
        <v>52</v>
      </c>
      <c r="D38" s="9" t="s">
        <v>53</v>
      </c>
      <c r="E38" s="9"/>
      <c r="F38" s="9"/>
      <c r="G38" s="9" t="s">
        <v>97</v>
      </c>
    </row>
    <row r="39" customFormat="false" ht="15" hidden="false" customHeight="false" outlineLevel="0" collapsed="false">
      <c r="A39" s="4" t="s">
        <v>102</v>
      </c>
      <c r="B39" s="4" t="s">
        <v>103</v>
      </c>
      <c r="C39" s="4" t="s">
        <v>104</v>
      </c>
      <c r="D39" s="4" t="s">
        <v>53</v>
      </c>
      <c r="E39" s="4"/>
      <c r="F39" s="4"/>
      <c r="G39" s="4" t="s">
        <v>105</v>
      </c>
    </row>
    <row r="40" customFormat="false" ht="15" hidden="false" customHeight="false" outlineLevel="0" collapsed="false">
      <c r="A40" s="9" t="s">
        <v>102</v>
      </c>
      <c r="B40" s="9" t="s">
        <v>106</v>
      </c>
      <c r="C40" s="9" t="s">
        <v>104</v>
      </c>
      <c r="D40" s="9" t="s">
        <v>53</v>
      </c>
      <c r="E40" s="9"/>
      <c r="F40" s="9"/>
      <c r="G40" s="9" t="s">
        <v>105</v>
      </c>
    </row>
    <row r="41" customFormat="false" ht="15" hidden="false" customHeight="false" outlineLevel="0" collapsed="false">
      <c r="A41" s="4" t="s">
        <v>102</v>
      </c>
      <c r="B41" s="4" t="s">
        <v>107</v>
      </c>
      <c r="C41" s="4" t="s">
        <v>104</v>
      </c>
      <c r="D41" s="4" t="s">
        <v>53</v>
      </c>
      <c r="E41" s="4"/>
      <c r="F41" s="4"/>
      <c r="G41" s="4" t="s">
        <v>105</v>
      </c>
    </row>
    <row r="42" customFormat="false" ht="15" hidden="false" customHeight="false" outlineLevel="0" collapsed="false">
      <c r="A42" s="9" t="s">
        <v>102</v>
      </c>
      <c r="B42" s="9" t="s">
        <v>108</v>
      </c>
      <c r="C42" s="9" t="s">
        <v>104</v>
      </c>
      <c r="D42" s="9" t="s">
        <v>53</v>
      </c>
      <c r="E42" s="9"/>
      <c r="F42" s="9"/>
      <c r="G42" s="9" t="s">
        <v>105</v>
      </c>
    </row>
    <row r="43" customFormat="false" ht="15" hidden="false" customHeight="false" outlineLevel="0" collapsed="false">
      <c r="A43" s="4" t="s">
        <v>102</v>
      </c>
      <c r="B43" s="4" t="s">
        <v>109</v>
      </c>
      <c r="C43" s="4" t="s">
        <v>104</v>
      </c>
      <c r="D43" s="4" t="s">
        <v>53</v>
      </c>
      <c r="E43" s="4"/>
      <c r="F43" s="4"/>
      <c r="G43" s="4" t="s">
        <v>105</v>
      </c>
    </row>
    <row r="44" customFormat="false" ht="15" hidden="false" customHeight="false" outlineLevel="0" collapsed="false">
      <c r="A44" s="9" t="s">
        <v>102</v>
      </c>
      <c r="B44" s="9" t="s">
        <v>110</v>
      </c>
      <c r="C44" s="9" t="s">
        <v>52</v>
      </c>
      <c r="D44" s="9" t="s">
        <v>53</v>
      </c>
      <c r="E44" s="9"/>
      <c r="F44" s="9"/>
      <c r="G44" s="9" t="s">
        <v>105</v>
      </c>
    </row>
    <row r="45" customFormat="false" ht="15" hidden="false" customHeight="false" outlineLevel="0" collapsed="false">
      <c r="A45" s="4" t="s">
        <v>111</v>
      </c>
      <c r="B45" s="4" t="s">
        <v>112</v>
      </c>
      <c r="C45" s="4" t="s">
        <v>52</v>
      </c>
      <c r="D45" s="4" t="s">
        <v>53</v>
      </c>
      <c r="E45" s="4"/>
      <c r="F45" s="4"/>
      <c r="G45" s="4" t="s">
        <v>113</v>
      </c>
    </row>
    <row r="46" customFormat="false" ht="15" hidden="false" customHeight="false" outlineLevel="0" collapsed="false">
      <c r="A46" s="9" t="s">
        <v>111</v>
      </c>
      <c r="B46" s="9" t="s">
        <v>114</v>
      </c>
      <c r="C46" s="9" t="s">
        <v>52</v>
      </c>
      <c r="D46" s="9" t="s">
        <v>53</v>
      </c>
      <c r="E46" s="9"/>
      <c r="F46" s="9"/>
      <c r="G46" s="9" t="s">
        <v>76</v>
      </c>
    </row>
    <row r="47" customFormat="false" ht="15" hidden="false" customHeight="false" outlineLevel="0" collapsed="false">
      <c r="A47" s="4" t="s">
        <v>111</v>
      </c>
      <c r="B47" s="4" t="s">
        <v>115</v>
      </c>
      <c r="C47" s="4" t="s">
        <v>52</v>
      </c>
      <c r="D47" s="4" t="s">
        <v>53</v>
      </c>
      <c r="E47" s="4"/>
      <c r="F47" s="4"/>
      <c r="G47" s="4" t="s">
        <v>113</v>
      </c>
    </row>
    <row r="48" customFormat="false" ht="15" hidden="false" customHeight="false" outlineLevel="0" collapsed="false">
      <c r="A48" s="9" t="s">
        <v>111</v>
      </c>
      <c r="B48" s="9" t="s">
        <v>116</v>
      </c>
      <c r="C48" s="9" t="s">
        <v>52</v>
      </c>
      <c r="D48" s="9" t="s">
        <v>53</v>
      </c>
      <c r="E48" s="9"/>
      <c r="F48" s="9"/>
      <c r="G48" s="9" t="s">
        <v>113</v>
      </c>
    </row>
  </sheetData>
  <mergeCells count="1">
    <mergeCell ref="A1:G1"/>
  </mergeCells>
  <dataValidations count="1">
    <dataValidation allowBlank="true" errorStyle="stop" operator="between" showDropDown="false" showErrorMessage="false" showInputMessage="false" sqref="D4:D48" type="list">
      <formula1>"Not started,In progress,Complete,N/A,Blocked"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30"/>
  </cols>
  <sheetData>
    <row r="1" customFormat="false" ht="30" hidden="false" customHeight="true" outlineLevel="0" collapsed="false">
      <c r="A1" s="1" t="s">
        <v>117</v>
      </c>
      <c r="B1" s="1"/>
      <c r="C1" s="1"/>
      <c r="D1" s="1"/>
      <c r="E1" s="1"/>
      <c r="F1" s="1"/>
    </row>
    <row r="3" customFormat="false" ht="30" hidden="false" customHeight="true" outlineLevel="0" collapsed="false">
      <c r="A3" s="8" t="s">
        <v>118</v>
      </c>
      <c r="B3" s="8" t="s">
        <v>119</v>
      </c>
      <c r="C3" s="8" t="s">
        <v>120</v>
      </c>
      <c r="D3" s="8" t="s">
        <v>121</v>
      </c>
      <c r="E3" s="8" t="s">
        <v>122</v>
      </c>
      <c r="F3" s="8" t="s">
        <v>123</v>
      </c>
    </row>
    <row r="4" customFormat="false" ht="15" hidden="false" customHeight="false" outlineLevel="0" collapsed="false">
      <c r="A4" s="9" t="s">
        <v>124</v>
      </c>
      <c r="B4" s="9" t="s">
        <v>125</v>
      </c>
      <c r="C4" s="9" t="s">
        <v>126</v>
      </c>
      <c r="D4" s="9" t="s">
        <v>126</v>
      </c>
      <c r="E4" s="9"/>
      <c r="F4" s="9"/>
    </row>
    <row r="5" customFormat="false" ht="15" hidden="false" customHeight="false" outlineLevel="0" collapsed="false">
      <c r="A5" s="4" t="s">
        <v>124</v>
      </c>
      <c r="B5" s="4" t="s">
        <v>127</v>
      </c>
      <c r="C5" s="4" t="s">
        <v>126</v>
      </c>
      <c r="D5" s="4" t="s">
        <v>126</v>
      </c>
      <c r="E5" s="4"/>
      <c r="F5" s="4"/>
    </row>
    <row r="6" customFormat="false" ht="15" hidden="false" customHeight="false" outlineLevel="0" collapsed="false">
      <c r="A6" s="9" t="s">
        <v>128</v>
      </c>
      <c r="B6" s="9" t="s">
        <v>129</v>
      </c>
      <c r="C6" s="9" t="s">
        <v>126</v>
      </c>
      <c r="D6" s="9" t="s">
        <v>126</v>
      </c>
      <c r="E6" s="9"/>
      <c r="F6" s="9"/>
    </row>
    <row r="7" customFormat="false" ht="15" hidden="false" customHeight="false" outlineLevel="0" collapsed="false">
      <c r="A7" s="4" t="s">
        <v>128</v>
      </c>
      <c r="B7" s="4" t="s">
        <v>130</v>
      </c>
      <c r="C7" s="4" t="s">
        <v>126</v>
      </c>
      <c r="D7" s="4" t="s">
        <v>126</v>
      </c>
      <c r="E7" s="4"/>
      <c r="F7" s="4"/>
    </row>
    <row r="8" customFormat="false" ht="15" hidden="false" customHeight="false" outlineLevel="0" collapsed="false">
      <c r="A8" s="9" t="s">
        <v>128</v>
      </c>
      <c r="B8" s="9" t="s">
        <v>131</v>
      </c>
      <c r="C8" s="9" t="s">
        <v>126</v>
      </c>
      <c r="D8" s="9" t="s">
        <v>126</v>
      </c>
      <c r="E8" s="9"/>
      <c r="F8" s="9"/>
    </row>
    <row r="9" customFormat="false" ht="15" hidden="false" customHeight="false" outlineLevel="0" collapsed="false">
      <c r="A9" s="4" t="s">
        <v>128</v>
      </c>
      <c r="B9" s="4" t="s">
        <v>132</v>
      </c>
      <c r="C9" s="4" t="s">
        <v>126</v>
      </c>
      <c r="D9" s="4" t="s">
        <v>126</v>
      </c>
      <c r="E9" s="4"/>
      <c r="F9" s="4"/>
    </row>
    <row r="10" customFormat="false" ht="15" hidden="false" customHeight="false" outlineLevel="0" collapsed="false">
      <c r="A10" s="9" t="s">
        <v>133</v>
      </c>
      <c r="B10" s="9" t="s">
        <v>134</v>
      </c>
      <c r="C10" s="9" t="s">
        <v>126</v>
      </c>
      <c r="D10" s="9" t="s">
        <v>126</v>
      </c>
      <c r="E10" s="9"/>
      <c r="F10" s="9"/>
    </row>
    <row r="11" customFormat="false" ht="15" hidden="false" customHeight="false" outlineLevel="0" collapsed="false">
      <c r="A11" s="4" t="s">
        <v>133</v>
      </c>
      <c r="B11" s="4" t="s">
        <v>135</v>
      </c>
      <c r="C11" s="4" t="s">
        <v>126</v>
      </c>
      <c r="D11" s="4" t="s">
        <v>126</v>
      </c>
      <c r="E11" s="4"/>
      <c r="F11" s="4"/>
    </row>
    <row r="12" customFormat="false" ht="15" hidden="false" customHeight="false" outlineLevel="0" collapsed="false">
      <c r="A12" s="9" t="s">
        <v>136</v>
      </c>
      <c r="B12" s="9" t="s">
        <v>137</v>
      </c>
      <c r="C12" s="9" t="s">
        <v>126</v>
      </c>
      <c r="D12" s="9" t="s">
        <v>126</v>
      </c>
      <c r="E12" s="9"/>
      <c r="F12" s="9"/>
    </row>
    <row r="13" customFormat="false" ht="15" hidden="false" customHeight="false" outlineLevel="0" collapsed="false">
      <c r="A13" s="4" t="s">
        <v>136</v>
      </c>
      <c r="B13" s="4" t="s">
        <v>138</v>
      </c>
      <c r="C13" s="4" t="s">
        <v>126</v>
      </c>
      <c r="D13" s="4" t="s">
        <v>126</v>
      </c>
      <c r="E13" s="4"/>
      <c r="F13" s="4"/>
    </row>
    <row r="14" customFormat="false" ht="15" hidden="false" customHeight="false" outlineLevel="0" collapsed="false">
      <c r="A14" s="9" t="s">
        <v>136</v>
      </c>
      <c r="B14" s="9" t="s">
        <v>139</v>
      </c>
      <c r="C14" s="9" t="s">
        <v>126</v>
      </c>
      <c r="D14" s="9" t="s">
        <v>126</v>
      </c>
      <c r="E14" s="9"/>
      <c r="F14" s="9"/>
    </row>
    <row r="15" customFormat="false" ht="15" hidden="false" customHeight="false" outlineLevel="0" collapsed="false">
      <c r="A15" s="4" t="s">
        <v>136</v>
      </c>
      <c r="B15" s="4" t="s">
        <v>140</v>
      </c>
      <c r="C15" s="4" t="s">
        <v>126</v>
      </c>
      <c r="D15" s="4" t="s">
        <v>126</v>
      </c>
      <c r="E15" s="4"/>
      <c r="F15" s="4"/>
    </row>
    <row r="16" customFormat="false" ht="15" hidden="false" customHeight="false" outlineLevel="0" collapsed="false">
      <c r="A16" s="9" t="s">
        <v>141</v>
      </c>
      <c r="B16" s="9" t="s">
        <v>142</v>
      </c>
      <c r="C16" s="9" t="s">
        <v>126</v>
      </c>
      <c r="D16" s="9" t="s">
        <v>126</v>
      </c>
      <c r="E16" s="9"/>
      <c r="F16" s="9"/>
    </row>
    <row r="17" customFormat="false" ht="15" hidden="false" customHeight="false" outlineLevel="0" collapsed="false">
      <c r="A17" s="4" t="s">
        <v>141</v>
      </c>
      <c r="B17" s="4" t="s">
        <v>143</v>
      </c>
      <c r="C17" s="4" t="s">
        <v>126</v>
      </c>
      <c r="D17" s="4" t="s">
        <v>126</v>
      </c>
      <c r="E17" s="4"/>
      <c r="F17" s="4"/>
    </row>
    <row r="18" customFormat="false" ht="15" hidden="false" customHeight="false" outlineLevel="0" collapsed="false">
      <c r="A18" s="9" t="s">
        <v>141</v>
      </c>
      <c r="B18" s="9" t="s">
        <v>144</v>
      </c>
      <c r="C18" s="9" t="s">
        <v>126</v>
      </c>
      <c r="D18" s="9" t="s">
        <v>126</v>
      </c>
      <c r="E18" s="9"/>
      <c r="F18" s="9"/>
    </row>
    <row r="19" customFormat="false" ht="23.85" hidden="false" customHeight="false" outlineLevel="0" collapsed="false">
      <c r="A19" s="4" t="s">
        <v>145</v>
      </c>
      <c r="B19" s="4" t="s">
        <v>146</v>
      </c>
      <c r="C19" s="4" t="s">
        <v>126</v>
      </c>
      <c r="D19" s="4" t="s">
        <v>126</v>
      </c>
      <c r="E19" s="4"/>
      <c r="F19" s="4"/>
    </row>
    <row r="20" customFormat="false" ht="15" hidden="false" customHeight="false" outlineLevel="0" collapsed="false">
      <c r="A20" s="9" t="s">
        <v>147</v>
      </c>
      <c r="B20" s="9" t="s">
        <v>148</v>
      </c>
      <c r="C20" s="9" t="s">
        <v>126</v>
      </c>
      <c r="D20" s="9" t="s">
        <v>126</v>
      </c>
      <c r="E20" s="9"/>
      <c r="F20" s="9"/>
    </row>
    <row r="21" customFormat="false" ht="15" hidden="false" customHeight="false" outlineLevel="0" collapsed="false">
      <c r="A21" s="4" t="s">
        <v>147</v>
      </c>
      <c r="B21" s="4" t="s">
        <v>149</v>
      </c>
      <c r="C21" s="4" t="s">
        <v>126</v>
      </c>
      <c r="D21" s="4" t="s">
        <v>126</v>
      </c>
      <c r="E21" s="4"/>
      <c r="F21" s="4"/>
    </row>
  </sheetData>
  <mergeCells count="1">
    <mergeCell ref="A1:F1"/>
  </mergeCells>
  <dataValidations count="1">
    <dataValidation allowBlank="true" errorStyle="stop" operator="between" showDropDown="false" showErrorMessage="false" showInputMessage="false" sqref="C4:D21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26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4" min="12" style="0" width="11"/>
    <col collapsed="false" customWidth="true" hidden="false" outlineLevel="0" max="15" min="15" style="0" width="30"/>
  </cols>
  <sheetData>
    <row r="1" customFormat="false" ht="30" hidden="false" customHeight="true" outlineLevel="0" collapsed="false">
      <c r="A1" s="1" t="s">
        <v>150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3" customFormat="false" ht="30" hidden="false" customHeight="true" outlineLevel="0" collapsed="false">
      <c r="A3" s="8" t="s">
        <v>151</v>
      </c>
      <c r="B3" s="8" t="s">
        <v>152</v>
      </c>
      <c r="C3" s="8" t="s">
        <v>153</v>
      </c>
      <c r="D3" s="8" t="s">
        <v>154</v>
      </c>
      <c r="E3" s="8" t="s">
        <v>155</v>
      </c>
      <c r="F3" s="8" t="s">
        <v>156</v>
      </c>
      <c r="G3" s="8" t="s">
        <v>157</v>
      </c>
      <c r="H3" s="8" t="s">
        <v>158</v>
      </c>
      <c r="I3" s="8" t="s">
        <v>159</v>
      </c>
      <c r="J3" s="8" t="s">
        <v>160</v>
      </c>
      <c r="K3" s="8" t="s">
        <v>161</v>
      </c>
      <c r="L3" s="8" t="s">
        <v>162</v>
      </c>
      <c r="M3" s="8" t="s">
        <v>163</v>
      </c>
      <c r="N3" s="8" t="s">
        <v>164</v>
      </c>
      <c r="O3" s="8" t="s">
        <v>123</v>
      </c>
    </row>
    <row r="4" customFormat="false" ht="15" hidden="false" customHeight="fals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5" hidden="false" customHeight="fals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</row>
  </sheetData>
  <mergeCells count="1">
    <mergeCell ref="A1:O1"/>
  </mergeCells>
  <dataValidations count="6">
    <dataValidation allowBlank="true" errorStyle="stop" operator="between" showDropDown="false" showErrorMessage="false" showInputMessage="false" sqref="E4:E203" type="list">
      <formula1>"Not sent,Sent,Signed"</formula1>
      <formula2>0</formula2>
    </dataValidation>
    <dataValidation allowBlank="true" errorStyle="stop" operator="between" showDropDown="false" showErrorMessage="false" showInputMessage="false" sqref="J4:J203" type="list">
      <formula1>"Pending,Clear,Flagged"</formula1>
      <formula2>0</formula2>
    </dataValidation>
    <dataValidation allowBlank="true" errorStyle="stop" operator="between" showDropDown="false" showErrorMessage="false" showInputMessage="false" sqref="K4:K203" type="list">
      <formula1>"Pending,Verified,Insufficient"</formula1>
      <formula2>0</formula2>
    </dataValidation>
    <dataValidation allowBlank="true" errorStyle="stop" operator="between" showDropDown="false" showErrorMessage="false" showInputMessage="false" sqref="L4:L203" type="list">
      <formula1>"None,Requested,Received,Declined"</formula1>
      <formula2>0</formula2>
    </dataValidation>
    <dataValidation allowBlank="true" errorStyle="stop" operator="between" showDropDown="false" showErrorMessage="false" showInputMessage="false" sqref="M4:M203" type="list">
      <formula1>"None,Requested,Received,Declined"</formula1>
      <formula2>0</formula2>
    </dataValidation>
    <dataValidation allowBlank="true" errorStyle="stop" operator="between" showDropDown="false" showErrorMessage="false" showInputMessage="false" sqref="N4:N203" type="list">
      <formula1>"None,Requested,Received,Declined"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7" min="2" style="0" width="15"/>
    <col collapsed="false" customWidth="true" hidden="false" outlineLevel="0" max="10" min="8" style="0" width="9"/>
    <col collapsed="false" customWidth="true" hidden="false" outlineLevel="0" max="11" min="11" style="0" width="18"/>
    <col collapsed="false" customWidth="true" hidden="false" outlineLevel="0" max="12" min="12" style="0" width="30"/>
    <col collapsed="false" customWidth="true" hidden="false" outlineLevel="0" max="13" min="13" style="0" width="16"/>
    <col collapsed="false" customWidth="true" hidden="false" outlineLevel="0" max="14" min="14" style="0" width="18"/>
    <col collapsed="false" customWidth="true" hidden="false" outlineLevel="0" max="15" min="15" style="0" width="26"/>
  </cols>
  <sheetData>
    <row r="1" customFormat="false" ht="30" hidden="false" customHeight="true" outlineLevel="0" collapsed="false">
      <c r="A1" s="1" t="s">
        <v>165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A2" s="10" t="s">
        <v>166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</row>
    <row r="3" customFormat="false" ht="30" hidden="false" customHeight="true" outlineLevel="0" collapsed="false">
      <c r="A3" s="8" t="s">
        <v>167</v>
      </c>
      <c r="B3" s="8" t="s">
        <v>168</v>
      </c>
      <c r="C3" s="8" t="s">
        <v>169</v>
      </c>
      <c r="D3" s="8" t="s">
        <v>170</v>
      </c>
      <c r="E3" s="8" t="s">
        <v>171</v>
      </c>
      <c r="F3" s="8" t="s">
        <v>172</v>
      </c>
      <c r="G3" s="8" t="s">
        <v>173</v>
      </c>
      <c r="H3" s="8" t="s">
        <v>174</v>
      </c>
      <c r="I3" s="8" t="s">
        <v>175</v>
      </c>
      <c r="J3" s="8" t="s">
        <v>176</v>
      </c>
      <c r="K3" s="8" t="s">
        <v>177</v>
      </c>
      <c r="L3" s="8" t="s">
        <v>178</v>
      </c>
      <c r="M3" s="8" t="s">
        <v>179</v>
      </c>
      <c r="N3" s="8" t="s">
        <v>180</v>
      </c>
      <c r="O3" s="8" t="s">
        <v>123</v>
      </c>
    </row>
    <row r="4" customFormat="false" ht="15" hidden="false" customHeight="false" outlineLevel="0" collapsed="false">
      <c r="A4" s="9"/>
      <c r="B4" s="11"/>
      <c r="C4" s="11"/>
      <c r="D4" s="11"/>
      <c r="E4" s="11" t="str">
        <f aca="false">IF(AND(B4&lt;&gt;"",C4&lt;&gt;""),C4-B4,"")</f>
        <v/>
      </c>
      <c r="F4" s="11" t="str">
        <f aca="false">IF(AND(C4&lt;&gt;"",D4&lt;&gt;""),D4-C4,"")</f>
        <v/>
      </c>
      <c r="G4" s="11" t="str">
        <f aca="false">IF(D4&lt;&gt;"",D4,IF(C4&lt;&gt;"",C4,IF(B4&lt;&gt;"",B4,"")))</f>
        <v/>
      </c>
      <c r="H4" s="12"/>
      <c r="I4" s="12"/>
      <c r="J4" s="12"/>
      <c r="K4" s="9"/>
      <c r="L4" s="9"/>
      <c r="M4" s="9"/>
      <c r="N4" s="9"/>
      <c r="O4" s="9"/>
    </row>
    <row r="5" customFormat="false" ht="15" hidden="false" customHeight="false" outlineLevel="0" collapsed="false">
      <c r="A5" s="4"/>
      <c r="B5" s="13"/>
      <c r="C5" s="13"/>
      <c r="D5" s="13"/>
      <c r="E5" s="13" t="str">
        <f aca="false">IF(AND(B5&lt;&gt;"",C5&lt;&gt;""),C5-B5,"")</f>
        <v/>
      </c>
      <c r="F5" s="13" t="str">
        <f aca="false">IF(AND(C5&lt;&gt;"",D5&lt;&gt;""),D5-C5,"")</f>
        <v/>
      </c>
      <c r="G5" s="13" t="str">
        <f aca="false">IF(D5&lt;&gt;"",D5,IF(C5&lt;&gt;"",C5,IF(B5&lt;&gt;"",B5,"")))</f>
        <v/>
      </c>
      <c r="H5" s="14"/>
      <c r="I5" s="14"/>
      <c r="J5" s="14"/>
      <c r="K5" s="4"/>
      <c r="L5" s="4"/>
      <c r="M5" s="4"/>
      <c r="N5" s="4"/>
      <c r="O5" s="4"/>
    </row>
    <row r="6" customFormat="false" ht="15" hidden="false" customHeight="false" outlineLevel="0" collapsed="false">
      <c r="A6" s="9"/>
      <c r="B6" s="11"/>
      <c r="C6" s="11"/>
      <c r="D6" s="11"/>
      <c r="E6" s="11" t="str">
        <f aca="false">IF(AND(B6&lt;&gt;"",C6&lt;&gt;""),C6-B6,"")</f>
        <v/>
      </c>
      <c r="F6" s="11" t="str">
        <f aca="false">IF(AND(C6&lt;&gt;"",D6&lt;&gt;""),D6-C6,"")</f>
        <v/>
      </c>
      <c r="G6" s="11" t="str">
        <f aca="false">IF(D6&lt;&gt;"",D6,IF(C6&lt;&gt;"",C6,IF(B6&lt;&gt;"",B6,"")))</f>
        <v/>
      </c>
      <c r="H6" s="12"/>
      <c r="I6" s="12"/>
      <c r="J6" s="12"/>
      <c r="K6" s="9"/>
      <c r="L6" s="9"/>
      <c r="M6" s="9"/>
      <c r="N6" s="9"/>
      <c r="O6" s="9"/>
    </row>
    <row r="7" customFormat="false" ht="15" hidden="false" customHeight="false" outlineLevel="0" collapsed="false">
      <c r="A7" s="4"/>
      <c r="B7" s="13"/>
      <c r="C7" s="13"/>
      <c r="D7" s="13"/>
      <c r="E7" s="13" t="str">
        <f aca="false">IF(AND(B7&lt;&gt;"",C7&lt;&gt;""),C7-B7,"")</f>
        <v/>
      </c>
      <c r="F7" s="13" t="str">
        <f aca="false">IF(AND(C7&lt;&gt;"",D7&lt;&gt;""),D7-C7,"")</f>
        <v/>
      </c>
      <c r="G7" s="13" t="str">
        <f aca="false">IF(D7&lt;&gt;"",D7,IF(C7&lt;&gt;"",C7,IF(B7&lt;&gt;"",B7,"")))</f>
        <v/>
      </c>
      <c r="H7" s="14"/>
      <c r="I7" s="14"/>
      <c r="J7" s="14"/>
      <c r="K7" s="4"/>
      <c r="L7" s="4"/>
      <c r="M7" s="4"/>
      <c r="N7" s="4"/>
      <c r="O7" s="4"/>
    </row>
    <row r="8" customFormat="false" ht="15" hidden="false" customHeight="false" outlineLevel="0" collapsed="false">
      <c r="A8" s="9"/>
      <c r="B8" s="11"/>
      <c r="C8" s="11"/>
      <c r="D8" s="11"/>
      <c r="E8" s="11" t="str">
        <f aca="false">IF(AND(B8&lt;&gt;"",C8&lt;&gt;""),C8-B8,"")</f>
        <v/>
      </c>
      <c r="F8" s="11" t="str">
        <f aca="false">IF(AND(C8&lt;&gt;"",D8&lt;&gt;""),D8-C8,"")</f>
        <v/>
      </c>
      <c r="G8" s="11" t="str">
        <f aca="false">IF(D8&lt;&gt;"",D8,IF(C8&lt;&gt;"",C8,IF(B8&lt;&gt;"",B8,"")))</f>
        <v/>
      </c>
      <c r="H8" s="12"/>
      <c r="I8" s="12"/>
      <c r="J8" s="12"/>
      <c r="K8" s="9"/>
      <c r="L8" s="9"/>
      <c r="M8" s="9"/>
      <c r="N8" s="9"/>
      <c r="O8" s="9"/>
    </row>
    <row r="9" customFormat="false" ht="15" hidden="false" customHeight="false" outlineLevel="0" collapsed="false">
      <c r="A9" s="4"/>
      <c r="B9" s="13"/>
      <c r="C9" s="13"/>
      <c r="D9" s="13"/>
      <c r="E9" s="13" t="str">
        <f aca="false">IF(AND(B9&lt;&gt;"",C9&lt;&gt;""),C9-B9,"")</f>
        <v/>
      </c>
      <c r="F9" s="13" t="str">
        <f aca="false">IF(AND(C9&lt;&gt;"",D9&lt;&gt;""),D9-C9,"")</f>
        <v/>
      </c>
      <c r="G9" s="13" t="str">
        <f aca="false">IF(D9&lt;&gt;"",D9,IF(C9&lt;&gt;"",C9,IF(B9&lt;&gt;"",B9,"")))</f>
        <v/>
      </c>
      <c r="H9" s="14"/>
      <c r="I9" s="14"/>
      <c r="J9" s="14"/>
      <c r="K9" s="4"/>
      <c r="L9" s="4"/>
      <c r="M9" s="4"/>
      <c r="N9" s="4"/>
      <c r="O9" s="4"/>
    </row>
    <row r="10" customFormat="false" ht="15" hidden="false" customHeight="false" outlineLevel="0" collapsed="false">
      <c r="A10" s="9"/>
      <c r="B10" s="11"/>
      <c r="C10" s="11"/>
      <c r="D10" s="11"/>
      <c r="E10" s="11" t="str">
        <f aca="false">IF(AND(B10&lt;&gt;"",C10&lt;&gt;""),C10-B10,"")</f>
        <v/>
      </c>
      <c r="F10" s="11" t="str">
        <f aca="false">IF(AND(C10&lt;&gt;"",D10&lt;&gt;""),D10-C10,"")</f>
        <v/>
      </c>
      <c r="G10" s="11" t="str">
        <f aca="false">IF(D10&lt;&gt;"",D10,IF(C10&lt;&gt;"",C10,IF(B10&lt;&gt;"",B10,"")))</f>
        <v/>
      </c>
      <c r="H10" s="12"/>
      <c r="I10" s="12"/>
      <c r="J10" s="12"/>
      <c r="K10" s="9"/>
      <c r="L10" s="9"/>
      <c r="M10" s="9"/>
      <c r="N10" s="9"/>
      <c r="O10" s="9"/>
    </row>
    <row r="11" customFormat="false" ht="15" hidden="false" customHeight="false" outlineLevel="0" collapsed="false">
      <c r="A11" s="4"/>
      <c r="B11" s="13"/>
      <c r="C11" s="13"/>
      <c r="D11" s="13"/>
      <c r="E11" s="13" t="str">
        <f aca="false">IF(AND(B11&lt;&gt;"",C11&lt;&gt;""),C11-B11,"")</f>
        <v/>
      </c>
      <c r="F11" s="13" t="str">
        <f aca="false">IF(AND(C11&lt;&gt;"",D11&lt;&gt;""),D11-C11,"")</f>
        <v/>
      </c>
      <c r="G11" s="13" t="str">
        <f aca="false">IF(D11&lt;&gt;"",D11,IF(C11&lt;&gt;"",C11,IF(B11&lt;&gt;"",B11,"")))</f>
        <v/>
      </c>
      <c r="H11" s="14"/>
      <c r="I11" s="14"/>
      <c r="J11" s="14"/>
      <c r="K11" s="4"/>
      <c r="L11" s="4"/>
      <c r="M11" s="4"/>
      <c r="N11" s="4"/>
      <c r="O11" s="4"/>
    </row>
    <row r="13" customFormat="false" ht="15" hidden="false" customHeight="false" outlineLevel="0" collapsed="false">
      <c r="A13" s="7" t="s">
        <v>181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customFormat="false" ht="15" hidden="false" customHeight="false" outlineLevel="0" collapsed="false">
      <c r="A14" s="7" t="s">
        <v>182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</sheetData>
  <mergeCells count="4">
    <mergeCell ref="A1:O1"/>
    <mergeCell ref="A2:O2"/>
    <mergeCell ref="A13:O13"/>
    <mergeCell ref="A14:O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0"/>
  </cols>
  <sheetData>
    <row r="1" customFormat="false" ht="30" hidden="false" customHeight="true" outlineLevel="0" collapsed="false">
      <c r="A1" s="1" t="s">
        <v>183</v>
      </c>
      <c r="B1" s="1"/>
      <c r="C1" s="1"/>
      <c r="D1" s="1"/>
      <c r="E1" s="1"/>
      <c r="F1" s="1"/>
    </row>
    <row r="3" customFormat="false" ht="30" hidden="false" customHeight="true" outlineLevel="0" collapsed="false">
      <c r="A3" s="8" t="s">
        <v>184</v>
      </c>
      <c r="B3" s="8" t="s">
        <v>185</v>
      </c>
      <c r="C3" s="8" t="s">
        <v>46</v>
      </c>
      <c r="D3" s="8" t="s">
        <v>186</v>
      </c>
      <c r="E3" s="8" t="s">
        <v>187</v>
      </c>
      <c r="F3" s="8" t="s">
        <v>123</v>
      </c>
    </row>
    <row r="4" customFormat="false" ht="15" hidden="false" customHeight="false" outlineLevel="0" collapsed="false">
      <c r="A4" s="9" t="s">
        <v>188</v>
      </c>
      <c r="B4" s="9"/>
      <c r="C4" s="9" t="s">
        <v>53</v>
      </c>
      <c r="D4" s="9"/>
      <c r="E4" s="9"/>
      <c r="F4" s="9"/>
    </row>
    <row r="5" customFormat="false" ht="15" hidden="false" customHeight="false" outlineLevel="0" collapsed="false">
      <c r="A5" s="4" t="s">
        <v>189</v>
      </c>
      <c r="B5" s="4"/>
      <c r="C5" s="4" t="s">
        <v>53</v>
      </c>
      <c r="D5" s="4"/>
      <c r="E5" s="4"/>
      <c r="F5" s="4"/>
    </row>
    <row r="6" customFormat="false" ht="15" hidden="false" customHeight="false" outlineLevel="0" collapsed="false">
      <c r="A6" s="9" t="s">
        <v>190</v>
      </c>
      <c r="B6" s="9"/>
      <c r="C6" s="9" t="s">
        <v>53</v>
      </c>
      <c r="D6" s="9"/>
      <c r="E6" s="9"/>
      <c r="F6" s="9"/>
    </row>
    <row r="7" customFormat="false" ht="15" hidden="false" customHeight="false" outlineLevel="0" collapsed="false">
      <c r="A7" s="4" t="s">
        <v>191</v>
      </c>
      <c r="B7" s="4"/>
      <c r="C7" s="4" t="s">
        <v>53</v>
      </c>
      <c r="D7" s="4"/>
      <c r="E7" s="4"/>
      <c r="F7" s="4"/>
    </row>
    <row r="8" customFormat="false" ht="15" hidden="false" customHeight="false" outlineLevel="0" collapsed="false">
      <c r="A8" s="9" t="s">
        <v>192</v>
      </c>
      <c r="B8" s="9"/>
      <c r="C8" s="9" t="s">
        <v>53</v>
      </c>
      <c r="D8" s="9"/>
      <c r="E8" s="9"/>
      <c r="F8" s="9"/>
    </row>
    <row r="9" customFormat="false" ht="15" hidden="false" customHeight="false" outlineLevel="0" collapsed="false">
      <c r="A9" s="4" t="s">
        <v>193</v>
      </c>
      <c r="B9" s="4"/>
      <c r="C9" s="4" t="s">
        <v>53</v>
      </c>
      <c r="D9" s="4"/>
      <c r="E9" s="4"/>
      <c r="F9" s="4"/>
    </row>
    <row r="10" customFormat="false" ht="15" hidden="false" customHeight="false" outlineLevel="0" collapsed="false">
      <c r="A10" s="9" t="s">
        <v>194</v>
      </c>
      <c r="B10" s="9"/>
      <c r="C10" s="9" t="s">
        <v>53</v>
      </c>
      <c r="D10" s="9"/>
      <c r="E10" s="9"/>
      <c r="F10" s="9"/>
    </row>
    <row r="11" customFormat="false" ht="15" hidden="false" customHeight="false" outlineLevel="0" collapsed="false">
      <c r="A11" s="4" t="s">
        <v>195</v>
      </c>
      <c r="B11" s="4"/>
      <c r="C11" s="4" t="s">
        <v>53</v>
      </c>
      <c r="D11" s="4"/>
      <c r="E11" s="4"/>
      <c r="F11" s="4"/>
    </row>
    <row r="12" customFormat="false" ht="15" hidden="false" customHeight="false" outlineLevel="0" collapsed="false">
      <c r="A12" s="9" t="s">
        <v>196</v>
      </c>
      <c r="B12" s="9"/>
      <c r="C12" s="9" t="s">
        <v>53</v>
      </c>
      <c r="D12" s="9"/>
      <c r="E12" s="9"/>
      <c r="F12" s="9"/>
    </row>
    <row r="13" customFormat="false" ht="15" hidden="false" customHeight="false" outlineLevel="0" collapsed="false">
      <c r="A13" s="4" t="s">
        <v>197</v>
      </c>
      <c r="B13" s="4"/>
      <c r="C13" s="4" t="s">
        <v>53</v>
      </c>
      <c r="D13" s="4"/>
      <c r="E13" s="4"/>
      <c r="F13" s="4"/>
    </row>
    <row r="14" customFormat="false" ht="15" hidden="false" customHeight="false" outlineLevel="0" collapsed="false">
      <c r="A14" s="9" t="s">
        <v>198</v>
      </c>
      <c r="B14" s="9"/>
      <c r="C14" s="9" t="s">
        <v>53</v>
      </c>
      <c r="D14" s="9"/>
      <c r="E14" s="9"/>
      <c r="F14" s="9"/>
    </row>
    <row r="15" customFormat="false" ht="15" hidden="false" customHeight="false" outlineLevel="0" collapsed="false">
      <c r="A15" s="4" t="s">
        <v>199</v>
      </c>
      <c r="B15" s="4"/>
      <c r="C15" s="4" t="s">
        <v>53</v>
      </c>
      <c r="D15" s="4"/>
      <c r="E15" s="4"/>
      <c r="F15" s="4"/>
    </row>
    <row r="16" customFormat="false" ht="15" hidden="false" customHeight="false" outlineLevel="0" collapsed="false">
      <c r="A16" s="9" t="s">
        <v>200</v>
      </c>
      <c r="B16" s="9"/>
      <c r="C16" s="9" t="s">
        <v>53</v>
      </c>
      <c r="D16" s="9"/>
      <c r="E16" s="9"/>
      <c r="F16" s="9"/>
    </row>
    <row r="17" customFormat="false" ht="15" hidden="false" customHeight="false" outlineLevel="0" collapsed="false">
      <c r="A17" s="4" t="s">
        <v>201</v>
      </c>
      <c r="B17" s="4"/>
      <c r="C17" s="4" t="s">
        <v>53</v>
      </c>
      <c r="D17" s="4"/>
      <c r="E17" s="4"/>
      <c r="F17" s="4"/>
    </row>
    <row r="18" customFormat="false" ht="15" hidden="false" customHeight="false" outlineLevel="0" collapsed="false">
      <c r="A18" s="9" t="s">
        <v>202</v>
      </c>
      <c r="B18" s="9"/>
      <c r="C18" s="9" t="s">
        <v>53</v>
      </c>
      <c r="D18" s="9"/>
      <c r="E18" s="9"/>
      <c r="F18" s="9"/>
    </row>
    <row r="19" customFormat="false" ht="15" hidden="false" customHeight="false" outlineLevel="0" collapsed="false">
      <c r="A19" s="4" t="s">
        <v>203</v>
      </c>
      <c r="B19" s="4"/>
      <c r="C19" s="4" t="s">
        <v>53</v>
      </c>
      <c r="D19" s="4"/>
      <c r="E19" s="4"/>
      <c r="F19" s="4"/>
    </row>
    <row r="20" customFormat="false" ht="15" hidden="false" customHeight="false" outlineLevel="0" collapsed="false">
      <c r="A20" s="9" t="s">
        <v>204</v>
      </c>
      <c r="B20" s="9"/>
      <c r="C20" s="9" t="s">
        <v>53</v>
      </c>
      <c r="D20" s="9"/>
      <c r="E20" s="9"/>
      <c r="F20" s="9"/>
    </row>
  </sheetData>
  <mergeCells count="1">
    <mergeCell ref="A1:F1"/>
  </mergeCells>
  <dataValidations count="1">
    <dataValidation allowBlank="true" errorStyle="stop" operator="between" showDropDown="false" showErrorMessage="false" showInputMessage="false" sqref="C4:C20" type="list">
      <formula1>"Not started,In progress,Complete,N/A"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34"/>
  </cols>
  <sheetData>
    <row r="1" customFormat="false" ht="30" hidden="false" customHeight="true" outlineLevel="0" collapsed="false">
      <c r="A1" s="1" t="s">
        <v>205</v>
      </c>
      <c r="B1" s="1"/>
      <c r="C1" s="1"/>
      <c r="D1" s="1"/>
      <c r="E1" s="1"/>
      <c r="F1" s="1"/>
    </row>
    <row r="3" customFormat="false" ht="30" hidden="false" customHeight="true" outlineLevel="0" collapsed="false">
      <c r="A3" s="8" t="s">
        <v>122</v>
      </c>
      <c r="B3" s="8" t="s">
        <v>206</v>
      </c>
      <c r="C3" s="8" t="s">
        <v>207</v>
      </c>
      <c r="D3" s="8" t="s">
        <v>208</v>
      </c>
      <c r="E3" s="8" t="s">
        <v>209</v>
      </c>
      <c r="F3" s="8" t="s">
        <v>210</v>
      </c>
    </row>
    <row r="4" customFormat="false" ht="15" hidden="false" customHeight="false" outlineLevel="0" collapsed="false">
      <c r="A4" s="9"/>
      <c r="B4" s="9"/>
      <c r="C4" s="9"/>
      <c r="D4" s="9"/>
      <c r="E4" s="9"/>
      <c r="F4" s="9"/>
    </row>
    <row r="5" customFormat="false" ht="15" hidden="false" customHeight="false" outlineLevel="0" collapsed="false">
      <c r="A5" s="4"/>
      <c r="B5" s="4"/>
      <c r="C5" s="4"/>
      <c r="D5" s="4"/>
      <c r="E5" s="4"/>
      <c r="F5" s="4"/>
    </row>
    <row r="6" customFormat="false" ht="15" hidden="false" customHeight="false" outlineLevel="0" collapsed="false">
      <c r="A6" s="9"/>
      <c r="B6" s="9"/>
      <c r="C6" s="9"/>
      <c r="D6" s="9"/>
      <c r="E6" s="9"/>
      <c r="F6" s="9"/>
    </row>
    <row r="7" customFormat="false" ht="15" hidden="false" customHeight="false" outlineLevel="0" collapsed="false">
      <c r="A7" s="4"/>
      <c r="B7" s="4"/>
      <c r="C7" s="4"/>
      <c r="D7" s="4"/>
      <c r="E7" s="4"/>
      <c r="F7" s="4"/>
    </row>
    <row r="8" customFormat="false" ht="15" hidden="false" customHeight="false" outlineLevel="0" collapsed="false">
      <c r="A8" s="9"/>
      <c r="B8" s="9"/>
      <c r="C8" s="9"/>
      <c r="D8" s="9"/>
      <c r="E8" s="9"/>
      <c r="F8" s="9"/>
    </row>
    <row r="9" customFormat="false" ht="15" hidden="false" customHeight="false" outlineLevel="0" collapsed="false">
      <c r="A9" s="4"/>
      <c r="B9" s="4"/>
      <c r="C9" s="4"/>
      <c r="D9" s="4"/>
      <c r="E9" s="4"/>
      <c r="F9" s="4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</row>
  </sheetData>
  <mergeCells count="1">
    <mergeCell ref="A1:F1"/>
  </mergeCells>
  <dataValidations count="1">
    <dataValidation allowBlank="true" errorStyle="stop" operator="between" showDropDown="false" showErrorMessage="false" showInputMessage="false" sqref="B4:B203" type="list">
      <formula1>"Weekly update,Bid report,Ad hoc,Closing report"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2026-06-07T18:29:45Z</dcterms:created>
  <dc:creator>openpyxl</dc:creator>
  <dc:description/>
  <dc:language>en-US</dc:language>
  <cp:lastModifiedBy/>
  <dcterms:modified xsi:type="dcterms:W3CDTF">2026-06-07T18:29:46Z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